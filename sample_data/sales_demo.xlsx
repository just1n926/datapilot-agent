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429cb301b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4db766f74ca44140"/>
    <x:sheet xmlns:r="http://schemas.openxmlformats.org/officeDocument/2006/relationships" name="Dashboard" sheetId="2" r:id="Rd0687a2c07f6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&quot;$&quot;#,##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F766E"/>
      <x:name val="Carlito"/>
    </x:font>
    <x:font>
      <x:b/>
      <x:sz val="15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B1324"/>
      </x:patternFill>
    </x:fill>
    <x:fill>
      <x:patternFill patternType="solid">
        <x:fgColor rgb="FFF0FDFA"/>
      </x:patternFill>
    </x:fill>
    <x:fill>
      <x:patternFill patternType="solid">
        <x:fgColor rgb="FF134E4A"/>
      </x:patternFill>
    </x:fill>
  </x:fills>
  <x:borders count="5">
    <x:border/>
    <x:border>
      <x:left style="thin">
        <x:color rgb="FF99F6E4"/>
      </x:left>
      <x:top style="thin">
        <x:color rgb="FF99F6E4"/>
      </x:top>
    </x:border>
    <x:border>
      <x:right style="thin">
        <x:color rgb="FF99F6E4"/>
      </x:right>
      <x:top style="thin">
        <x:color rgb="FF99F6E4"/>
      </x:top>
    </x:border>
    <x:border>
      <x:left style="thin">
        <x:color rgb="FF99F6E4"/>
      </x:left>
      <x:bottom style="thin">
        <x:color rgb="FF99F6E4"/>
      </x:bottom>
    </x:border>
    <x:border>
      <x:right style="thin">
        <x:color rgb="FF99F6E4"/>
      </x:right>
      <x:bottom style="thin">
        <x:color rgb="FF99F6E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2" fontId="0" fillId="4" borderId="3" xfId="0" applyNumberFormat="1" applyFont="1" applyFill="1" applyBorder="1"/>
    <x:xf numFmtId="203" fontId="0" fillId="4" borderId="3" xfId="0" applyNumberFormat="1" applyFont="1" applyFill="1" applyBorder="1"/>
    <x:xf numFmtId="201" fontId="0" fillId="4" borderId="3" xfId="0" applyNumberFormat="1" applyFont="1" applyFill="1" applyBorder="1"/>
    <x:xf numFmtId="202" fontId="4" fillId="4" borderId="3" xfId="0" applyNumberFormat="1" applyFont="1" applyFill="1" applyBorder="1"/>
    <x:xf numFmtId="0" fontId="4" fillId="4" borderId="4" xfId="0" applyNumberFormat="1" applyFont="1" applyFill="1" applyBorder="1"/>
    <x:xf numFmtId="203" fontId="4" fillId="4" borderId="3" xfId="0" applyNumberFormat="1" applyFont="1" applyFill="1" applyBorder="1"/>
    <x:xf numFmtId="201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9d6641f71464d" /><Relationship Type="http://schemas.openxmlformats.org/officeDocument/2006/relationships/theme" Target="/xl/theme/theme1.xml" Id="R0606d2a9885542d4" /><Relationship Type="http://schemas.openxmlformats.org/officeDocument/2006/relationships/sharedStrings" Target="/xl/sharedStrings.xml" Id="R0836ef1caa244b87" /><Relationship Type="http://schemas.openxmlformats.org/officeDocument/2006/relationships/worksheet" Target="/xl/worksheets/sheet1.xml" Id="R4db766f74ca44140" /><Relationship Type="http://schemas.openxmlformats.org/officeDocument/2006/relationships/worksheet" Target="/xl/worksheets/sheet2.xml" Id="Rd0687a2c07f640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d1e83c9d104339" /><Relationship Type="http://schemas.openxmlformats.org/officeDocument/2006/relationships/chart" Target="/xl/drawings/charts/chart2.xml" Id="Rf631381f007f48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 ($)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'Dashboard'!$A$8:$A$11</c:f>
              <c:strCache>
                <c:ptCount val="0"/>
              </c:strCache>
            </c:strRef>
          </c:cat>
          <c:val>
            <c:numRef>
              <c:f>'Dashboard'!$B$8:$B$11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and Profit ($)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'Dashboard'!$E$8:$E$15</c:f>
              <c:strCache>
                <c:ptCount val="0"/>
              </c:strCache>
            </c:strRef>
          </c:cat>
          <c:val>
            <c:numRef>
              <c:f>'Dashboard'!$F$8:$F$15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'Dashboard'!$E$8:$E$15</c:f>
              <c:strCache>
                <c:ptCount val="0"/>
              </c:strCache>
            </c:strRef>
          </c:cat>
          <c:val>
            <c:numRef>
              <c:f>'Dashboard'!$G$8:$G$15</c:f>
              <c:numCache>
                <c:formatCode>"$"#,##0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d1e83c9d104339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1381f007f48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1:K97" headerRowCount="1">
  <x:tableColumns count="11">
    <x:tableColumn id="1" name="Date"/>
    <x:tableColumn id="2" name="Month"/>
    <x:tableColumn id="3" name="Order ID"/>
    <x:tableColumn id="4" name="Region"/>
    <x:tableColumn id="5" name="Product"/>
    <x:tableColumn id="6" name="Channel"/>
    <x:tableColumn id="7" name="Customer Type"/>
    <x:tableColumn id="8" name="Units"/>
    <x:tableColumn id="9" name="Revenue"/>
    <x:tableColumn id="10" name="Cost"/>
    <x:tableColumn id="11" name="Return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9ade64c72d43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a44b405497f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13" hidden="0" customWidth="1"/>
    <x:col min="5" max="5" width="15" hidden="0" customWidth="1"/>
    <x:col min="6" max="6" width="14" hidden="0" customWidth="1"/>
    <x:col min="7" max="7" width="18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</x:cols>
  <x:sheetData>
    <x:row r="1" ht="26" customHeight="1">
      <x:c r="A1" s="2" t="str">
        <x:v>Date</x:v>
      </x:c>
      <x:c r="B1" s="2" t="str">
        <x:v>Month</x:v>
      </x:c>
      <x:c r="C1" s="2" t="str">
        <x:v>Order ID</x:v>
      </x:c>
      <x:c r="D1" s="2" t="str">
        <x:v>Region</x:v>
      </x:c>
      <x:c r="E1" s="2" t="str">
        <x:v>Product</x:v>
      </x:c>
      <x:c r="F1" s="2" t="str">
        <x:v>Channel</x:v>
      </x:c>
      <x:c r="G1" s="2" t="str">
        <x:v>Customer Type</x:v>
      </x:c>
      <x:c r="H1" s="2" t="str">
        <x:v>Units</x:v>
      </x:c>
      <x:c r="I1" s="2" t="str">
        <x:v>Revenue</x:v>
      </x:c>
      <x:c r="J1" s="2" t="str">
        <x:v>Cost</x:v>
      </x:c>
      <x:c r="K1" s="2" t="str">
        <x:v>Returned</x:v>
      </x:c>
    </x:row>
    <x:row r="2">
      <x:c r="A2" s="3" t="n">
        <x:v>46027</x:v>
      </x:c>
      <x:c r="B2" s="6" t="str">
        <x:v>2026-01</x:v>
      </x:c>
      <x:c r="C2" s="6" t="str">
        <x:v>ORD-1001</x:v>
      </x:c>
      <x:c r="D2" s="6" t="str">
        <x:v>North</x:v>
      </x:c>
      <x:c r="E2" s="6" t="str">
        <x:v>Starter</x:v>
      </x:c>
      <x:c r="F2" s="6" t="str">
        <x:v>Online</x:v>
      </x:c>
      <x:c r="G2" s="6" t="str">
        <x:v>Existing</x:v>
      </x:c>
      <x:c r="H2" s="4" t="n">
        <x:v>11</x:v>
      </x:c>
      <x:c r="I2" s="5" t="n">
        <x:v>1320</x:v>
      </x:c>
      <x:c r="J2" s="5" t="n">
        <x:v>818</x:v>
      </x:c>
      <x:c r="K2" s="6" t="str">
        <x:v>No</x:v>
      </x:c>
    </x:row>
    <x:row r="3">
      <x:c r="A3" s="3" t="n">
        <x:v>46028</x:v>
      </x:c>
      <x:c r="B3" s="6" t="str">
        <x:v>2026-01</x:v>
      </x:c>
      <x:c r="C3" s="6" t="str">
        <x:v>ORD-1002</x:v>
      </x:c>
      <x:c r="D3" s="6" t="str">
        <x:v>North</x:v>
      </x:c>
      <x:c r="E3" s="6" t="str">
        <x:v>Pro</x:v>
      </x:c>
      <x:c r="F3" s="6" t="str">
        <x:v>Retail</x:v>
      </x:c>
      <x:c r="G3" s="6" t="str">
        <x:v>Existing</x:v>
      </x:c>
      <x:c r="H3" s="4" t="n">
        <x:v>15</x:v>
      </x:c>
      <x:c r="I3" s="5" t="n">
        <x:v>3300</x:v>
      </x:c>
      <x:c r="J3" s="5" t="n">
        <x:v>2178</x:v>
      </x:c>
      <x:c r="K3" s="6" t="str">
        <x:v>No</x:v>
      </x:c>
    </x:row>
    <x:row r="4">
      <x:c r="A4" s="3" t="n">
        <x:v>46029</x:v>
      </x:c>
      <x:c r="B4" s="6" t="str">
        <x:v>2026-01</x:v>
      </x:c>
      <x:c r="C4" s="6" t="str">
        <x:v>ORD-1003</x:v>
      </x:c>
      <x:c r="D4" s="6" t="str">
        <x:v>North</x:v>
      </x:c>
      <x:c r="E4" s="6" t="str">
        <x:v>Enterprise</x:v>
      </x:c>
      <x:c r="F4" s="6" t="str">
        <x:v>Partner</x:v>
      </x:c>
      <x:c r="G4" s="6" t="str">
        <x:v>New</x:v>
      </x:c>
      <x:c r="H4" s="4" t="n">
        <x:v>19</x:v>
      </x:c>
      <x:c r="I4" s="5" t="n">
        <x:v>6840</x:v>
      </x:c>
      <x:c r="J4" s="5" t="n">
        <x:v>4788</x:v>
      </x:c>
      <x:c r="K4" s="6" t="str">
        <x:v>Yes</x:v>
      </x:c>
    </x:row>
    <x:row r="5">
      <x:c r="A5" s="3" t="n">
        <x:v>46031</x:v>
      </x:c>
      <x:c r="B5" s="6" t="str">
        <x:v>2026-01</x:v>
      </x:c>
      <x:c r="C5" s="6" t="str">
        <x:v>ORD-1004</x:v>
      </x:c>
      <x:c r="D5" s="6" t="str">
        <x:v>South</x:v>
      </x:c>
      <x:c r="E5" s="6" t="str">
        <x:v>Starter</x:v>
      </x:c>
      <x:c r="F5" s="6" t="str">
        <x:v>Retail</x:v>
      </x:c>
      <x:c r="G5" s="6" t="str">
        <x:v>Existing</x:v>
      </x:c>
      <x:c r="H5" s="4" t="n">
        <x:v>14</x:v>
      </x:c>
      <x:c r="I5" s="5" t="n">
        <x:v>1680</x:v>
      </x:c>
      <x:c r="J5" s="5" t="n">
        <x:v>1042</x:v>
      </x:c>
      <x:c r="K5" s="6" t="str">
        <x:v>No</x:v>
      </x:c>
    </x:row>
    <x:row r="6">
      <x:c r="A6" s="3" t="n">
        <x:v>46032</x:v>
      </x:c>
      <x:c r="B6" s="6" t="str">
        <x:v>2026-01</x:v>
      </x:c>
      <x:c r="C6" s="6" t="str">
        <x:v>ORD-1005</x:v>
      </x:c>
      <x:c r="D6" s="6" t="str">
        <x:v>South</x:v>
      </x:c>
      <x:c r="E6" s="6" t="str">
        <x:v>Pro</x:v>
      </x:c>
      <x:c r="F6" s="6" t="str">
        <x:v>Partner</x:v>
      </x:c>
      <x:c r="G6" s="6" t="str">
        <x:v>Existing</x:v>
      </x:c>
      <x:c r="H6" s="4" t="n">
        <x:v>18</x:v>
      </x:c>
      <x:c r="I6" s="5" t="n">
        <x:v>3960</x:v>
      </x:c>
      <x:c r="J6" s="5" t="n">
        <x:v>2614</x:v>
      </x:c>
      <x:c r="K6" s="6" t="str">
        <x:v>No</x:v>
      </x:c>
    </x:row>
    <x:row r="7">
      <x:c r="A7" s="3" t="n">
        <x:v>46033</x:v>
      </x:c>
      <x:c r="B7" s="6" t="str">
        <x:v>2026-01</x:v>
      </x:c>
      <x:c r="C7" s="6" t="str">
        <x:v>ORD-1006</x:v>
      </x:c>
      <x:c r="D7" s="6" t="str">
        <x:v>South</x:v>
      </x:c>
      <x:c r="E7" s="6" t="str">
        <x:v>Enterprise</x:v>
      </x:c>
      <x:c r="F7" s="6" t="str">
        <x:v>Online</x:v>
      </x:c>
      <x:c r="G7" s="6" t="str">
        <x:v>New</x:v>
      </x:c>
      <x:c r="H7" s="4" t="n">
        <x:v>22</x:v>
      </x:c>
      <x:c r="I7" s="5" t="n">
        <x:v>7920</x:v>
      </x:c>
      <x:c r="J7" s="5" t="n">
        <x:v>5544</x:v>
      </x:c>
      <x:c r="K7" s="6" t="str">
        <x:v>No</x:v>
      </x:c>
    </x:row>
    <x:row r="8">
      <x:c r="A8" s="3" t="n">
        <x:v>46035</x:v>
      </x:c>
      <x:c r="B8" s="6" t="str">
        <x:v>2026-01</x:v>
      </x:c>
      <x:c r="C8" s="6" t="str">
        <x:v>ORD-1007</x:v>
      </x:c>
      <x:c r="D8" s="6" t="str">
        <x:v>East</x:v>
      </x:c>
      <x:c r="E8" s="6" t="str">
        <x:v>Starter</x:v>
      </x:c>
      <x:c r="F8" s="6" t="str">
        <x:v>Partner</x:v>
      </x:c>
      <x:c r="G8" s="6" t="str">
        <x:v>Existing</x:v>
      </x:c>
      <x:c r="H8" s="4" t="n">
        <x:v>17</x:v>
      </x:c>
      <x:c r="I8" s="5" t="n">
        <x:v>2040</x:v>
      </x:c>
      <x:c r="J8" s="5" t="n">
        <x:v>1265</x:v>
      </x:c>
      <x:c r="K8" s="6" t="str">
        <x:v>No</x:v>
      </x:c>
    </x:row>
    <x:row r="9">
      <x:c r="A9" s="3" t="n">
        <x:v>46036</x:v>
      </x:c>
      <x:c r="B9" s="6" t="str">
        <x:v>2026-01</x:v>
      </x:c>
      <x:c r="C9" s="6" t="str">
        <x:v>ORD-1008</x:v>
      </x:c>
      <x:c r="D9" s="6" t="str">
        <x:v>East</x:v>
      </x:c>
      <x:c r="E9" s="6" t="str">
        <x:v>Pro</x:v>
      </x:c>
      <x:c r="F9" s="6" t="str">
        <x:v>Online</x:v>
      </x:c>
      <x:c r="G9" s="6" t="str">
        <x:v>Existing</x:v>
      </x:c>
      <x:c r="H9" s="4" t="n">
        <x:v>21</x:v>
      </x:c>
      <x:c r="I9" s="5" t="n">
        <x:v>4620</x:v>
      </x:c>
      <x:c r="J9" s="5" t="n">
        <x:v>3049</x:v>
      </x:c>
      <x:c r="K9" s="6" t="str">
        <x:v>No</x:v>
      </x:c>
    </x:row>
    <x:row r="10">
      <x:c r="A10" s="3" t="n">
        <x:v>46037</x:v>
      </x:c>
      <x:c r="B10" s="6" t="str">
        <x:v>2026-01</x:v>
      </x:c>
      <x:c r="C10" s="6" t="str">
        <x:v>ORD-1009</x:v>
      </x:c>
      <x:c r="D10" s="6" t="str">
        <x:v>East</x:v>
      </x:c>
      <x:c r="E10" s="6" t="str">
        <x:v>Enterprise</x:v>
      </x:c>
      <x:c r="F10" s="6" t="str">
        <x:v>Retail</x:v>
      </x:c>
      <x:c r="G10" s="6" t="str">
        <x:v>New</x:v>
      </x:c>
      <x:c r="H10" s="4" t="n">
        <x:v>25</x:v>
      </x:c>
      <x:c r="I10" s="5" t="n">
        <x:v>9000</x:v>
      </x:c>
      <x:c r="J10" s="5" t="n">
        <x:v>6300</x:v>
      </x:c>
      <x:c r="K10" s="6" t="str">
        <x:v>No</x:v>
      </x:c>
    </x:row>
    <x:row r="11">
      <x:c r="A11" s="3" t="n">
        <x:v>46039</x:v>
      </x:c>
      <x:c r="B11" s="6" t="str">
        <x:v>2026-01</x:v>
      </x:c>
      <x:c r="C11" s="6" t="str">
        <x:v>ORD-1010</x:v>
      </x:c>
      <x:c r="D11" s="6" t="str">
        <x:v>West</x:v>
      </x:c>
      <x:c r="E11" s="6" t="str">
        <x:v>Starter</x:v>
      </x:c>
      <x:c r="F11" s="6" t="str">
        <x:v>Online</x:v>
      </x:c>
      <x:c r="G11" s="6" t="str">
        <x:v>Existing</x:v>
      </x:c>
      <x:c r="H11" s="4" t="n">
        <x:v>20</x:v>
      </x:c>
      <x:c r="I11" s="5" t="n">
        <x:v>2400</x:v>
      </x:c>
      <x:c r="J11" s="5" t="n">
        <x:v>1488</x:v>
      </x:c>
      <x:c r="K11" s="6" t="str">
        <x:v>No</x:v>
      </x:c>
    </x:row>
    <x:row r="12">
      <x:c r="A12" s="3" t="n">
        <x:v>46040</x:v>
      </x:c>
      <x:c r="B12" s="6" t="str">
        <x:v>2026-01</x:v>
      </x:c>
      <x:c r="C12" s="6" t="str">
        <x:v>ORD-1011</x:v>
      </x:c>
      <x:c r="D12" s="6" t="str">
        <x:v>West</x:v>
      </x:c>
      <x:c r="E12" s="6" t="str">
        <x:v>Pro</x:v>
      </x:c>
      <x:c r="F12" s="6" t="str">
        <x:v>Retail</x:v>
      </x:c>
      <x:c r="G12" s="6" t="str">
        <x:v>Existing</x:v>
      </x:c>
      <x:c r="H12" s="4" t="n">
        <x:v>24</x:v>
      </x:c>
      <x:c r="I12" s="5" t="n">
        <x:v>5280</x:v>
      </x:c>
      <x:c r="J12" s="5" t="n">
        <x:v>3485</x:v>
      </x:c>
      <x:c r="K12" s="6" t="str">
        <x:v>No</x:v>
      </x:c>
    </x:row>
    <x:row r="13">
      <x:c r="A13" s="3" t="n">
        <x:v>46041</x:v>
      </x:c>
      <x:c r="B13" s="6" t="str">
        <x:v>2026-01</x:v>
      </x:c>
      <x:c r="C13" s="6" t="str">
        <x:v>ORD-1012</x:v>
      </x:c>
      <x:c r="D13" s="6" t="str">
        <x:v>West</x:v>
      </x:c>
      <x:c r="E13" s="6" t="str">
        <x:v>Enterprise</x:v>
      </x:c>
      <x:c r="F13" s="6" t="str">
        <x:v>Partner</x:v>
      </x:c>
      <x:c r="G13" s="6" t="str">
        <x:v>New</x:v>
      </x:c>
      <x:c r="H13" s="4" t="n">
        <x:v>28</x:v>
      </x:c>
      <x:c r="I13" s="5" t="n">
        <x:v>10080</x:v>
      </x:c>
      <x:c r="J13" s="5" t="n">
        <x:v>7056</x:v>
      </x:c>
      <x:c r="K13" s="6" t="str">
        <x:v>No</x:v>
      </x:c>
    </x:row>
    <x:row r="14">
      <x:c r="A14" s="3" t="n">
        <x:v>46058</x:v>
      </x:c>
      <x:c r="B14" s="6" t="str">
        <x:v>2026-02</x:v>
      </x:c>
      <x:c r="C14" s="6" t="str">
        <x:v>ORD-1013</x:v>
      </x:c>
      <x:c r="D14" s="6" t="str">
        <x:v>North</x:v>
      </x:c>
      <x:c r="E14" s="6" t="str">
        <x:v>Starter</x:v>
      </x:c>
      <x:c r="F14" s="6" t="str">
        <x:v>Retail</x:v>
      </x:c>
      <x:c r="G14" s="6" t="str">
        <x:v>Existing</x:v>
      </x:c>
      <x:c r="H14" s="4" t="n">
        <x:v>13</x:v>
      </x:c>
      <x:c r="I14" s="5" t="n">
        <x:v>1560</x:v>
      </x:c>
      <x:c r="J14" s="5" t="n">
        <x:v>967</x:v>
      </x:c>
      <x:c r="K14" s="6" t="str">
        <x:v>No</x:v>
      </x:c>
    </x:row>
    <x:row r="15">
      <x:c r="A15" s="3" t="n">
        <x:v>46059</x:v>
      </x:c>
      <x:c r="B15" s="6" t="str">
        <x:v>2026-02</x:v>
      </x:c>
      <x:c r="C15" s="6" t="str">
        <x:v>ORD-1014</x:v>
      </x:c>
      <x:c r="D15" s="6" t="str">
        <x:v>North</x:v>
      </x:c>
      <x:c r="E15" s="6" t="str">
        <x:v>Pro</x:v>
      </x:c>
      <x:c r="F15" s="6" t="str">
        <x:v>Partner</x:v>
      </x:c>
      <x:c r="G15" s="6" t="str">
        <x:v>Existing</x:v>
      </x:c>
      <x:c r="H15" s="4" t="n">
        <x:v>17</x:v>
      </x:c>
      <x:c r="I15" s="5" t="n">
        <x:v>3740</x:v>
      </x:c>
      <x:c r="J15" s="5" t="n">
        <x:v>2468</x:v>
      </x:c>
      <x:c r="K15" s="6" t="str">
        <x:v>No</x:v>
      </x:c>
    </x:row>
    <x:row r="16">
      <x:c r="A16" s="3" t="n">
        <x:v>46060</x:v>
      </x:c>
      <x:c r="B16" s="6" t="str">
        <x:v>2026-02</x:v>
      </x:c>
      <x:c r="C16" s="6" t="str">
        <x:v>ORD-1015</x:v>
      </x:c>
      <x:c r="D16" s="6" t="str">
        <x:v>North</x:v>
      </x:c>
      <x:c r="E16" s="6" t="str">
        <x:v>Enterprise</x:v>
      </x:c>
      <x:c r="F16" s="6" t="str">
        <x:v>Online</x:v>
      </x:c>
      <x:c r="G16" s="6" t="str">
        <x:v>New</x:v>
      </x:c>
      <x:c r="H16" s="4" t="n">
        <x:v>21</x:v>
      </x:c>
      <x:c r="I16" s="5" t="n">
        <x:v>7560</x:v>
      </x:c>
      <x:c r="J16" s="5" t="n">
        <x:v>5292</x:v>
      </x:c>
      <x:c r="K16" s="6" t="str">
        <x:v>No</x:v>
      </x:c>
    </x:row>
    <x:row r="17">
      <x:c r="A17" s="3" t="n">
        <x:v>46062</x:v>
      </x:c>
      <x:c r="B17" s="6" t="str">
        <x:v>2026-02</x:v>
      </x:c>
      <x:c r="C17" s="6" t="str">
        <x:v>ORD-1016</x:v>
      </x:c>
      <x:c r="D17" s="6" t="str">
        <x:v>South</x:v>
      </x:c>
      <x:c r="E17" s="6" t="str">
        <x:v>Starter</x:v>
      </x:c>
      <x:c r="F17" s="6" t="str">
        <x:v>Partner</x:v>
      </x:c>
      <x:c r="G17" s="6" t="str">
        <x:v>Existing</x:v>
      </x:c>
      <x:c r="H17" s="4" t="n">
        <x:v>16</x:v>
      </x:c>
      <x:c r="I17" s="5" t="n">
        <x:v>1920</x:v>
      </x:c>
      <x:c r="J17" s="5" t="n">
        <x:v>1190</x:v>
      </x:c>
      <x:c r="K17" s="6" t="str">
        <x:v>No</x:v>
      </x:c>
    </x:row>
    <x:row r="18">
      <x:c r="A18" s="3" t="n">
        <x:v>46063</x:v>
      </x:c>
      <x:c r="B18" s="6" t="str">
        <x:v>2026-02</x:v>
      </x:c>
      <x:c r="C18" s="6" t="str">
        <x:v>ORD-1017</x:v>
      </x:c>
      <x:c r="D18" s="6" t="str">
        <x:v>South</x:v>
      </x:c>
      <x:c r="E18" s="6" t="str">
        <x:v>Pro</x:v>
      </x:c>
      <x:c r="F18" s="6" t="str">
        <x:v>Online</x:v>
      </x:c>
      <x:c r="G18" s="6" t="str">
        <x:v>Existing</x:v>
      </x:c>
      <x:c r="H18" s="4" t="n">
        <x:v>20</x:v>
      </x:c>
      <x:c r="I18" s="5" t="n">
        <x:v>4400</x:v>
      </x:c>
      <x:c r="J18" s="5" t="n">
        <x:v>2904</x:v>
      </x:c>
      <x:c r="K18" s="6" t="str">
        <x:v>No</x:v>
      </x:c>
    </x:row>
    <x:row r="19">
      <x:c r="A19" s="3" t="n">
        <x:v>46064</x:v>
      </x:c>
      <x:c r="B19" s="6" t="str">
        <x:v>2026-02</x:v>
      </x:c>
      <x:c r="C19" s="6" t="str">
        <x:v>ORD-1018</x:v>
      </x:c>
      <x:c r="D19" s="6" t="str">
        <x:v>South</x:v>
      </x:c>
      <x:c r="E19" s="6" t="str">
        <x:v>Enterprise</x:v>
      </x:c>
      <x:c r="F19" s="6" t="str">
        <x:v>Retail</x:v>
      </x:c>
      <x:c r="G19" s="6" t="str">
        <x:v>New</x:v>
      </x:c>
      <x:c r="H19" s="4" t="n">
        <x:v>24</x:v>
      </x:c>
      <x:c r="I19" s="5" t="n">
        <x:v>8640</x:v>
      </x:c>
      <x:c r="J19" s="5" t="n">
        <x:v>6048</x:v>
      </x:c>
      <x:c r="K19" s="6" t="str">
        <x:v>No</x:v>
      </x:c>
    </x:row>
    <x:row r="20">
      <x:c r="A20" s="3" t="n">
        <x:v>46066</x:v>
      </x:c>
      <x:c r="B20" s="6" t="str">
        <x:v>2026-02</x:v>
      </x:c>
      <x:c r="C20" s="6" t="str">
        <x:v>ORD-1019</x:v>
      </x:c>
      <x:c r="D20" s="6" t="str">
        <x:v>East</x:v>
      </x:c>
      <x:c r="E20" s="6" t="str">
        <x:v>Starter</x:v>
      </x:c>
      <x:c r="F20" s="6" t="str">
        <x:v>Online</x:v>
      </x:c>
      <x:c r="G20" s="6" t="str">
        <x:v>Existing</x:v>
      </x:c>
      <x:c r="H20" s="4" t="n">
        <x:v>19</x:v>
      </x:c>
      <x:c r="I20" s="5" t="n">
        <x:v>2280</x:v>
      </x:c>
      <x:c r="J20" s="5" t="n">
        <x:v>1414</x:v>
      </x:c>
      <x:c r="K20" s="6" t="str">
        <x:v>No</x:v>
      </x:c>
    </x:row>
    <x:row r="21">
      <x:c r="A21" s="3" t="n">
        <x:v>46067</x:v>
      </x:c>
      <x:c r="B21" s="6" t="str">
        <x:v>2026-02</x:v>
      </x:c>
      <x:c r="C21" s="6" t="str">
        <x:v>ORD-1020</x:v>
      </x:c>
      <x:c r="D21" s="6" t="str">
        <x:v>East</x:v>
      </x:c>
      <x:c r="E21" s="6" t="str">
        <x:v>Pro</x:v>
      </x:c>
      <x:c r="F21" s="6" t="str">
        <x:v>Retail</x:v>
      </x:c>
      <x:c r="G21" s="6" t="str">
        <x:v>Existing</x:v>
      </x:c>
      <x:c r="H21" s="4" t="n">
        <x:v>23</x:v>
      </x:c>
      <x:c r="I21" s="5" t="n">
        <x:v>5060</x:v>
      </x:c>
      <x:c r="J21" s="5" t="n">
        <x:v>3340</x:v>
      </x:c>
      <x:c r="K21" s="6" t="str">
        <x:v>Yes</x:v>
      </x:c>
    </x:row>
    <x:row r="22">
      <x:c r="A22" s="3" t="n">
        <x:v>46068</x:v>
      </x:c>
      <x:c r="B22" s="6" t="str">
        <x:v>2026-02</x:v>
      </x:c>
      <x:c r="C22" s="6" t="str">
        <x:v>ORD-1021</x:v>
      </x:c>
      <x:c r="D22" s="6" t="str">
        <x:v>East</x:v>
      </x:c>
      <x:c r="E22" s="6" t="str">
        <x:v>Enterprise</x:v>
      </x:c>
      <x:c r="F22" s="6" t="str">
        <x:v>Partner</x:v>
      </x:c>
      <x:c r="G22" s="6" t="str">
        <x:v>New</x:v>
      </x:c>
      <x:c r="H22" s="4" t="n">
        <x:v>27</x:v>
      </x:c>
      <x:c r="I22" s="5" t="n">
        <x:v>9720</x:v>
      </x:c>
      <x:c r="J22" s="5" t="n">
        <x:v>6804</x:v>
      </x:c>
      <x:c r="K22" s="6" t="str">
        <x:v>No</x:v>
      </x:c>
    </x:row>
    <x:row r="23">
      <x:c r="A23" s="3" t="n">
        <x:v>46070</x:v>
      </x:c>
      <x:c r="B23" s="6" t="str">
        <x:v>2026-02</x:v>
      </x:c>
      <x:c r="C23" s="6" t="str">
        <x:v>ORD-1022</x:v>
      </x:c>
      <x:c r="D23" s="6" t="str">
        <x:v>West</x:v>
      </x:c>
      <x:c r="E23" s="6" t="str">
        <x:v>Starter</x:v>
      </x:c>
      <x:c r="F23" s="6" t="str">
        <x:v>Retail</x:v>
      </x:c>
      <x:c r="G23" s="6" t="str">
        <x:v>Existing</x:v>
      </x:c>
      <x:c r="H23" s="4" t="n">
        <x:v>22</x:v>
      </x:c>
      <x:c r="I23" s="5" t="n">
        <x:v>2640</x:v>
      </x:c>
      <x:c r="J23" s="5" t="n">
        <x:v>1637</x:v>
      </x:c>
      <x:c r="K23" s="6" t="str">
        <x:v>No</x:v>
      </x:c>
    </x:row>
    <x:row r="24">
      <x:c r="A24" s="3" t="n">
        <x:v>46071</x:v>
      </x:c>
      <x:c r="B24" s="6" t="str">
        <x:v>2026-02</x:v>
      </x:c>
      <x:c r="C24" s="6" t="str">
        <x:v>ORD-1023</x:v>
      </x:c>
      <x:c r="D24" s="6" t="str">
        <x:v>West</x:v>
      </x:c>
      <x:c r="E24" s="6" t="str">
        <x:v>Pro</x:v>
      </x:c>
      <x:c r="F24" s="6" t="str">
        <x:v>Partner</x:v>
      </x:c>
      <x:c r="G24" s="6" t="str">
        <x:v>Existing</x:v>
      </x:c>
      <x:c r="H24" s="4" t="n">
        <x:v>26</x:v>
      </x:c>
      <x:c r="I24" s="5" t="n">
        <x:v>5720</x:v>
      </x:c>
      <x:c r="J24" s="5" t="n">
        <x:v>3775</x:v>
      </x:c>
      <x:c r="K24" s="6" t="str">
        <x:v>No</x:v>
      </x:c>
    </x:row>
    <x:row r="25">
      <x:c r="A25" s="3" t="n">
        <x:v>46072</x:v>
      </x:c>
      <x:c r="B25" s="6" t="str">
        <x:v>2026-02</x:v>
      </x:c>
      <x:c r="C25" s="6" t="str">
        <x:v>ORD-1024</x:v>
      </x:c>
      <x:c r="D25" s="6" t="str">
        <x:v>West</x:v>
      </x:c>
      <x:c r="E25" s="6" t="str">
        <x:v>Enterprise</x:v>
      </x:c>
      <x:c r="F25" s="6" t="str">
        <x:v>Online</x:v>
      </x:c>
      <x:c r="G25" s="6" t="str">
        <x:v>New</x:v>
      </x:c>
      <x:c r="H25" s="4" t="n">
        <x:v>30</x:v>
      </x:c>
      <x:c r="I25" s="5" t="n">
        <x:v>10800</x:v>
      </x:c>
      <x:c r="J25" s="5" t="n">
        <x:v>7560</x:v>
      </x:c>
      <x:c r="K25" s="6" t="str">
        <x:v>No</x:v>
      </x:c>
    </x:row>
    <x:row r="26">
      <x:c r="A26" s="3" t="n">
        <x:v>46086</x:v>
      </x:c>
      <x:c r="B26" s="6" t="str">
        <x:v>2026-03</x:v>
      </x:c>
      <x:c r="C26" s="6" t="str">
        <x:v>ORD-1025</x:v>
      </x:c>
      <x:c r="D26" s="6" t="str">
        <x:v>North</x:v>
      </x:c>
      <x:c r="E26" s="6" t="str">
        <x:v>Starter</x:v>
      </x:c>
      <x:c r="F26" s="6" t="str">
        <x:v>Partner</x:v>
      </x:c>
      <x:c r="G26" s="6" t="str">
        <x:v>Existing</x:v>
      </x:c>
      <x:c r="H26" s="4" t="n">
        <x:v>15</x:v>
      </x:c>
      <x:c r="I26" s="5" t="n">
        <x:v>1800</x:v>
      </x:c>
      <x:c r="J26" s="5" t="n">
        <x:v>1116</x:v>
      </x:c>
      <x:c r="K26" s="6" t="str">
        <x:v>No</x:v>
      </x:c>
    </x:row>
    <x:row r="27">
      <x:c r="A27" s="3" t="n">
        <x:v>46087</x:v>
      </x:c>
      <x:c r="B27" s="6" t="str">
        <x:v>2026-03</x:v>
      </x:c>
      <x:c r="C27" s="6" t="str">
        <x:v>ORD-1026</x:v>
      </x:c>
      <x:c r="D27" s="6" t="str">
        <x:v>North</x:v>
      </x:c>
      <x:c r="E27" s="6" t="str">
        <x:v>Pro</x:v>
      </x:c>
      <x:c r="F27" s="6" t="str">
        <x:v>Online</x:v>
      </x:c>
      <x:c r="G27" s="6" t="str">
        <x:v>Existing</x:v>
      </x:c>
      <x:c r="H27" s="4" t="n">
        <x:v>19</x:v>
      </x:c>
      <x:c r="I27" s="5" t="n">
        <x:v>4180</x:v>
      </x:c>
      <x:c r="J27" s="5" t="n">
        <x:v>2759</x:v>
      </x:c>
      <x:c r="K27" s="6" t="str">
        <x:v>No</x:v>
      </x:c>
    </x:row>
    <x:row r="28">
      <x:c r="A28" s="3" t="n">
        <x:v>46088</x:v>
      </x:c>
      <x:c r="B28" s="6" t="str">
        <x:v>2026-03</x:v>
      </x:c>
      <x:c r="C28" s="6" t="str">
        <x:v>ORD-1027</x:v>
      </x:c>
      <x:c r="D28" s="6" t="str">
        <x:v>North</x:v>
      </x:c>
      <x:c r="E28" s="6" t="str">
        <x:v>Enterprise</x:v>
      </x:c>
      <x:c r="F28" s="6" t="str">
        <x:v>Retail</x:v>
      </x:c>
      <x:c r="G28" s="6" t="str">
        <x:v>New</x:v>
      </x:c>
      <x:c r="H28" s="4" t="n">
        <x:v>23</x:v>
      </x:c>
      <x:c r="I28" s="5" t="n">
        <x:v>8280</x:v>
      </x:c>
      <x:c r="J28" s="5" t="n">
        <x:v>5796</x:v>
      </x:c>
      <x:c r="K28" s="6" t="str">
        <x:v>No</x:v>
      </x:c>
    </x:row>
    <x:row r="29">
      <x:c r="A29" s="3" t="n">
        <x:v>46090</x:v>
      </x:c>
      <x:c r="B29" s="6" t="str">
        <x:v>2026-03</x:v>
      </x:c>
      <x:c r="C29" s="6" t="str">
        <x:v>ORD-1028</x:v>
      </x:c>
      <x:c r="D29" s="6" t="str">
        <x:v>South</x:v>
      </x:c>
      <x:c r="E29" s="6" t="str">
        <x:v>Starter</x:v>
      </x:c>
      <x:c r="F29" s="6" t="str">
        <x:v>Online</x:v>
      </x:c>
      <x:c r="G29" s="6" t="str">
        <x:v>Existing</x:v>
      </x:c>
      <x:c r="H29" s="4" t="n">
        <x:v>18</x:v>
      </x:c>
      <x:c r="I29" s="5" t="n">
        <x:v>2160</x:v>
      </x:c>
      <x:c r="J29" s="5" t="n">
        <x:v>1339</x:v>
      </x:c>
      <x:c r="K29" s="6" t="str">
        <x:v>No</x:v>
      </x:c>
    </x:row>
    <x:row r="30">
      <x:c r="A30" s="3" t="n">
        <x:v>46091</x:v>
      </x:c>
      <x:c r="B30" s="6" t="str">
        <x:v>2026-03</x:v>
      </x:c>
      <x:c r="C30" s="6" t="str">
        <x:v>ORD-1029</x:v>
      </x:c>
      <x:c r="D30" s="6" t="str">
        <x:v>South</x:v>
      </x:c>
      <x:c r="E30" s="6" t="str">
        <x:v>Pro</x:v>
      </x:c>
      <x:c r="F30" s="6" t="str">
        <x:v>Retail</x:v>
      </x:c>
      <x:c r="G30" s="6" t="str">
        <x:v>Existing</x:v>
      </x:c>
      <x:c r="H30" s="4" t="n">
        <x:v>22</x:v>
      </x:c>
      <x:c r="I30" s="5" t="n">
        <x:v>4840</x:v>
      </x:c>
      <x:c r="J30" s="5" t="n">
        <x:v>3194</x:v>
      </x:c>
      <x:c r="K30" s="6" t="str">
        <x:v>No</x:v>
      </x:c>
    </x:row>
    <x:row r="31">
      <x:c r="A31" s="3" t="n">
        <x:v>46092</x:v>
      </x:c>
      <x:c r="B31" s="6" t="str">
        <x:v>2026-03</x:v>
      </x:c>
      <x:c r="C31" s="6" t="str">
        <x:v>ORD-1030</x:v>
      </x:c>
      <x:c r="D31" s="6" t="str">
        <x:v>South</x:v>
      </x:c>
      <x:c r="E31" s="6" t="str">
        <x:v>Enterprise</x:v>
      </x:c>
      <x:c r="F31" s="6" t="str">
        <x:v>Partner</x:v>
      </x:c>
      <x:c r="G31" s="6" t="str">
        <x:v>New</x:v>
      </x:c>
      <x:c r="H31" s="4" t="n">
        <x:v>26</x:v>
      </x:c>
      <x:c r="I31" s="5" t="n">
        <x:v>9360</x:v>
      </x:c>
      <x:c r="J31" s="5" t="n">
        <x:v>6552</x:v>
      </x:c>
      <x:c r="K31" s="6" t="str">
        <x:v>No</x:v>
      </x:c>
    </x:row>
    <x:row r="32">
      <x:c r="A32" s="3" t="n">
        <x:v>46094</x:v>
      </x:c>
      <x:c r="B32" s="6" t="str">
        <x:v>2026-03</x:v>
      </x:c>
      <x:c r="C32" s="6" t="str">
        <x:v>ORD-1031</x:v>
      </x:c>
      <x:c r="D32" s="6" t="str">
        <x:v>East</x:v>
      </x:c>
      <x:c r="E32" s="6" t="str">
        <x:v>Starter</x:v>
      </x:c>
      <x:c r="F32" s="6" t="str">
        <x:v>Retail</x:v>
      </x:c>
      <x:c r="G32" s="6" t="str">
        <x:v>Existing</x:v>
      </x:c>
      <x:c r="H32" s="4" t="n">
        <x:v>21</x:v>
      </x:c>
      <x:c r="I32" s="5" t="n">
        <x:v>2520</x:v>
      </x:c>
      <x:c r="J32" s="5" t="n">
        <x:v>1562</x:v>
      </x:c>
      <x:c r="K32" s="6" t="str">
        <x:v>No</x:v>
      </x:c>
    </x:row>
    <x:row r="33">
      <x:c r="A33" s="3" t="n">
        <x:v>46095</x:v>
      </x:c>
      <x:c r="B33" s="6" t="str">
        <x:v>2026-03</x:v>
      </x:c>
      <x:c r="C33" s="6" t="str">
        <x:v>ORD-1032</x:v>
      </x:c>
      <x:c r="D33" s="6" t="str">
        <x:v>East</x:v>
      </x:c>
      <x:c r="E33" s="6" t="str">
        <x:v>Pro</x:v>
      </x:c>
      <x:c r="F33" s="6" t="str">
        <x:v>Partner</x:v>
      </x:c>
      <x:c r="G33" s="6" t="str">
        <x:v>Existing</x:v>
      </x:c>
      <x:c r="H33" s="4" t="n">
        <x:v>25</x:v>
      </x:c>
      <x:c r="I33" s="5" t="n">
        <x:v>5500</x:v>
      </x:c>
      <x:c r="J33" s="5" t="n">
        <x:v>3630</x:v>
      </x:c>
      <x:c r="K33" s="6" t="str">
        <x:v>No</x:v>
      </x:c>
    </x:row>
    <x:row r="34">
      <x:c r="A34" s="3" t="n">
        <x:v>46096</x:v>
      </x:c>
      <x:c r="B34" s="6" t="str">
        <x:v>2026-03</x:v>
      </x:c>
      <x:c r="C34" s="6" t="str">
        <x:v>ORD-1033</x:v>
      </x:c>
      <x:c r="D34" s="6" t="str">
        <x:v>East</x:v>
      </x:c>
      <x:c r="E34" s="6" t="str">
        <x:v>Enterprise</x:v>
      </x:c>
      <x:c r="F34" s="6" t="str">
        <x:v>Online</x:v>
      </x:c>
      <x:c r="G34" s="6" t="str">
        <x:v>New</x:v>
      </x:c>
      <x:c r="H34" s="4" t="n">
        <x:v>29</x:v>
      </x:c>
      <x:c r="I34" s="5" t="n">
        <x:v>10440</x:v>
      </x:c>
      <x:c r="J34" s="5" t="n">
        <x:v>7308</x:v>
      </x:c>
      <x:c r="K34" s="6" t="str">
        <x:v>No</x:v>
      </x:c>
    </x:row>
    <x:row r="35">
      <x:c r="A35" s="3" t="n">
        <x:v>46098</x:v>
      </x:c>
      <x:c r="B35" s="6" t="str">
        <x:v>2026-03</x:v>
      </x:c>
      <x:c r="C35" s="6" t="str">
        <x:v>ORD-1034</x:v>
      </x:c>
      <x:c r="D35" s="6" t="str">
        <x:v>West</x:v>
      </x:c>
      <x:c r="E35" s="6" t="str">
        <x:v>Starter</x:v>
      </x:c>
      <x:c r="F35" s="6" t="str">
        <x:v>Partner</x:v>
      </x:c>
      <x:c r="G35" s="6" t="str">
        <x:v>Existing</x:v>
      </x:c>
      <x:c r="H35" s="4" t="n">
        <x:v>24</x:v>
      </x:c>
      <x:c r="I35" s="5" t="n">
        <x:v>2880</x:v>
      </x:c>
      <x:c r="J35" s="5" t="n">
        <x:v>1786</x:v>
      </x:c>
      <x:c r="K35" s="6" t="str">
        <x:v>No</x:v>
      </x:c>
    </x:row>
    <x:row r="36">
      <x:c r="A36" s="3" t="n">
        <x:v>46099</x:v>
      </x:c>
      <x:c r="B36" s="6" t="str">
        <x:v>2026-03</x:v>
      </x:c>
      <x:c r="C36" s="6" t="str">
        <x:v>ORD-1035</x:v>
      </x:c>
      <x:c r="D36" s="6" t="str">
        <x:v>West</x:v>
      </x:c>
      <x:c r="E36" s="6" t="str">
        <x:v>Pro</x:v>
      </x:c>
      <x:c r="F36" s="6" t="str">
        <x:v>Online</x:v>
      </x:c>
      <x:c r="G36" s="6" t="str">
        <x:v>Existing</x:v>
      </x:c>
      <x:c r="H36" s="4" t="n">
        <x:v>28</x:v>
      </x:c>
      <x:c r="I36" s="5" t="n">
        <x:v>6160</x:v>
      </x:c>
      <x:c r="J36" s="5" t="n">
        <x:v>4066</x:v>
      </x:c>
      <x:c r="K36" s="6" t="str">
        <x:v>No</x:v>
      </x:c>
    </x:row>
    <x:row r="37">
      <x:c r="A37" s="3" t="n">
        <x:v>46100</x:v>
      </x:c>
      <x:c r="B37" s="6" t="str">
        <x:v>2026-03</x:v>
      </x:c>
      <x:c r="C37" s="6" t="str">
        <x:v>ORD-1036</x:v>
      </x:c>
      <x:c r="D37" s="6" t="str">
        <x:v>West</x:v>
      </x:c>
      <x:c r="E37" s="6" t="str">
        <x:v>Enterprise</x:v>
      </x:c>
      <x:c r="F37" s="6" t="str">
        <x:v>Retail</x:v>
      </x:c>
      <x:c r="G37" s="6" t="str">
        <x:v>New</x:v>
      </x:c>
      <x:c r="H37" s="4" t="n">
        <x:v>32</x:v>
      </x:c>
      <x:c r="I37" s="5" t="n">
        <x:v>11520</x:v>
      </x:c>
      <x:c r="J37" s="5" t="n">
        <x:v>8064</x:v>
      </x:c>
      <x:c r="K37" s="6" t="str">
        <x:v>No</x:v>
      </x:c>
    </x:row>
    <x:row r="38">
      <x:c r="A38" s="3" t="n">
        <x:v>46117</x:v>
      </x:c>
      <x:c r="B38" s="6" t="str">
        <x:v>2026-04</x:v>
      </x:c>
      <x:c r="C38" s="6" t="str">
        <x:v>ORD-1037</x:v>
      </x:c>
      <x:c r="D38" s="6" t="str">
        <x:v>North</x:v>
      </x:c>
      <x:c r="E38" s="6" t="str">
        <x:v>Starter</x:v>
      </x:c>
      <x:c r="F38" s="6" t="str">
        <x:v>Online</x:v>
      </x:c>
      <x:c r="G38" s="6" t="str">
        <x:v>Existing</x:v>
      </x:c>
      <x:c r="H38" s="4" t="n">
        <x:v>17</x:v>
      </x:c>
      <x:c r="I38" s="5" t="n">
        <x:v>2040</x:v>
      </x:c>
      <x:c r="J38" s="5" t="n">
        <x:v>1265</x:v>
      </x:c>
      <x:c r="K38" s="6" t="str">
        <x:v>Yes</x:v>
      </x:c>
    </x:row>
    <x:row r="39">
      <x:c r="A39" s="3" t="n">
        <x:v>46118</x:v>
      </x:c>
      <x:c r="B39" s="6" t="str">
        <x:v>2026-04</x:v>
      </x:c>
      <x:c r="C39" s="6" t="str">
        <x:v>ORD-1038</x:v>
      </x:c>
      <x:c r="D39" s="6" t="str">
        <x:v>North</x:v>
      </x:c>
      <x:c r="E39" s="6" t="str">
        <x:v>Pro</x:v>
      </x:c>
      <x:c r="F39" s="6" t="str">
        <x:v>Retail</x:v>
      </x:c>
      <x:c r="G39" s="6" t="str">
        <x:v>Existing</x:v>
      </x:c>
      <x:c r="H39" s="4" t="n">
        <x:v>21</x:v>
      </x:c>
      <x:c r="I39" s="5" t="n">
        <x:v>4620</x:v>
      </x:c>
      <x:c r="J39" s="5" t="n">
        <x:v>3049</x:v>
      </x:c>
      <x:c r="K39" s="6" t="str">
        <x:v>No</x:v>
      </x:c>
    </x:row>
    <x:row r="40">
      <x:c r="A40" s="3" t="n">
        <x:v>46119</x:v>
      </x:c>
      <x:c r="B40" s="6" t="str">
        <x:v>2026-04</x:v>
      </x:c>
      <x:c r="C40" s="6" t="str">
        <x:v>ORD-1039</x:v>
      </x:c>
      <x:c r="D40" s="6" t="str">
        <x:v>North</x:v>
      </x:c>
      <x:c r="E40" s="6" t="str">
        <x:v>Enterprise</x:v>
      </x:c>
      <x:c r="F40" s="6" t="str">
        <x:v>Partner</x:v>
      </x:c>
      <x:c r="G40" s="6" t="str">
        <x:v>New</x:v>
      </x:c>
      <x:c r="H40" s="4" t="n">
        <x:v>25</x:v>
      </x:c>
      <x:c r="I40" s="5" t="n">
        <x:v>9000</x:v>
      </x:c>
      <x:c r="J40" s="5" t="n">
        <x:v>6300</x:v>
      </x:c>
      <x:c r="K40" s="6" t="str">
        <x:v>No</x:v>
      </x:c>
    </x:row>
    <x:row r="41">
      <x:c r="A41" s="3" t="n">
        <x:v>46121</x:v>
      </x:c>
      <x:c r="B41" s="6" t="str">
        <x:v>2026-04</x:v>
      </x:c>
      <x:c r="C41" s="6" t="str">
        <x:v>ORD-1040</x:v>
      </x:c>
      <x:c r="D41" s="6" t="str">
        <x:v>South</x:v>
      </x:c>
      <x:c r="E41" s="6" t="str">
        <x:v>Starter</x:v>
      </x:c>
      <x:c r="F41" s="6" t="str">
        <x:v>Retail</x:v>
      </x:c>
      <x:c r="G41" s="6" t="str">
        <x:v>Existing</x:v>
      </x:c>
      <x:c r="H41" s="4" t="n">
        <x:v>20</x:v>
      </x:c>
      <x:c r="I41" s="5" t="n">
        <x:v>2400</x:v>
      </x:c>
      <x:c r="J41" s="5" t="n">
        <x:v>1488</x:v>
      </x:c>
      <x:c r="K41" s="6" t="str">
        <x:v>No</x:v>
      </x:c>
    </x:row>
    <x:row r="42">
      <x:c r="A42" s="3" t="n">
        <x:v>46122</x:v>
      </x:c>
      <x:c r="B42" s="6" t="str">
        <x:v>2026-04</x:v>
      </x:c>
      <x:c r="C42" s="6" t="str">
        <x:v>ORD-1041</x:v>
      </x:c>
      <x:c r="D42" s="6" t="str">
        <x:v>South</x:v>
      </x:c>
      <x:c r="E42" s="6" t="str">
        <x:v>Pro</x:v>
      </x:c>
      <x:c r="F42" s="6" t="str">
        <x:v>Partner</x:v>
      </x:c>
      <x:c r="G42" s="6" t="str">
        <x:v>Existing</x:v>
      </x:c>
      <x:c r="H42" s="4" t="n">
        <x:v>24</x:v>
      </x:c>
      <x:c r="I42" s="5" t="n">
        <x:v>5280</x:v>
      </x:c>
      <x:c r="J42" s="5" t="n">
        <x:v>3485</x:v>
      </x:c>
      <x:c r="K42" s="6" t="str">
        <x:v>No</x:v>
      </x:c>
    </x:row>
    <x:row r="43">
      <x:c r="A43" s="3" t="n">
        <x:v>46123</x:v>
      </x:c>
      <x:c r="B43" s="6" t="str">
        <x:v>2026-04</x:v>
      </x:c>
      <x:c r="C43" s="6" t="str">
        <x:v>ORD-1042</x:v>
      </x:c>
      <x:c r="D43" s="6" t="str">
        <x:v>South</x:v>
      </x:c>
      <x:c r="E43" s="6" t="str">
        <x:v>Enterprise</x:v>
      </x:c>
      <x:c r="F43" s="6" t="str">
        <x:v>Online</x:v>
      </x:c>
      <x:c r="G43" s="6" t="str">
        <x:v>New</x:v>
      </x:c>
      <x:c r="H43" s="4" t="n">
        <x:v>28</x:v>
      </x:c>
      <x:c r="I43" s="5" t="n">
        <x:v>10080</x:v>
      </x:c>
      <x:c r="J43" s="5" t="n">
        <x:v>7056</x:v>
      </x:c>
      <x:c r="K43" s="6" t="str">
        <x:v>No</x:v>
      </x:c>
    </x:row>
    <x:row r="44">
      <x:c r="A44" s="3" t="n">
        <x:v>46125</x:v>
      </x:c>
      <x:c r="B44" s="6" t="str">
        <x:v>2026-04</x:v>
      </x:c>
      <x:c r="C44" s="6" t="str">
        <x:v>ORD-1043</x:v>
      </x:c>
      <x:c r="D44" s="6" t="str">
        <x:v>East</x:v>
      </x:c>
      <x:c r="E44" s="6" t="str">
        <x:v>Starter</x:v>
      </x:c>
      <x:c r="F44" s="6" t="str">
        <x:v>Partner</x:v>
      </x:c>
      <x:c r="G44" s="6" t="str">
        <x:v>Existing</x:v>
      </x:c>
      <x:c r="H44" s="4" t="n">
        <x:v>23</x:v>
      </x:c>
      <x:c r="I44" s="5" t="n">
        <x:v>2760</x:v>
      </x:c>
      <x:c r="J44" s="5" t="n">
        <x:v>1711</x:v>
      </x:c>
      <x:c r="K44" s="6" t="str">
        <x:v>No</x:v>
      </x:c>
    </x:row>
    <x:row r="45">
      <x:c r="A45" s="3" t="n">
        <x:v>46126</x:v>
      </x:c>
      <x:c r="B45" s="6" t="str">
        <x:v>2026-04</x:v>
      </x:c>
      <x:c r="C45" s="6" t="str">
        <x:v>ORD-1044</x:v>
      </x:c>
      <x:c r="D45" s="6" t="str">
        <x:v>East</x:v>
      </x:c>
      <x:c r="E45" s="6" t="str">
        <x:v>Pro</x:v>
      </x:c>
      <x:c r="F45" s="6" t="str">
        <x:v>Online</x:v>
      </x:c>
      <x:c r="G45" s="6" t="str">
        <x:v>Existing</x:v>
      </x:c>
      <x:c r="H45" s="4" t="n">
        <x:v>27</x:v>
      </x:c>
      <x:c r="I45" s="5" t="n">
        <x:v>5940</x:v>
      </x:c>
      <x:c r="J45" s="5" t="n">
        <x:v>3920</x:v>
      </x:c>
      <x:c r="K45" s="6" t="str">
        <x:v>No</x:v>
      </x:c>
    </x:row>
    <x:row r="46">
      <x:c r="A46" s="3" t="n">
        <x:v>46127</x:v>
      </x:c>
      <x:c r="B46" s="6" t="str">
        <x:v>2026-04</x:v>
      </x:c>
      <x:c r="C46" s="6" t="str">
        <x:v>ORD-1045</x:v>
      </x:c>
      <x:c r="D46" s="6" t="str">
        <x:v>East</x:v>
      </x:c>
      <x:c r="E46" s="6" t="str">
        <x:v>Enterprise</x:v>
      </x:c>
      <x:c r="F46" s="6" t="str">
        <x:v>Retail</x:v>
      </x:c>
      <x:c r="G46" s="6" t="str">
        <x:v>New</x:v>
      </x:c>
      <x:c r="H46" s="4" t="n">
        <x:v>31</x:v>
      </x:c>
      <x:c r="I46" s="5" t="n">
        <x:v>11160</x:v>
      </x:c>
      <x:c r="J46" s="5" t="n">
        <x:v>7812</x:v>
      </x:c>
      <x:c r="K46" s="6" t="str">
        <x:v>No</x:v>
      </x:c>
    </x:row>
    <x:row r="47">
      <x:c r="A47" s="3" t="n">
        <x:v>46129</x:v>
      </x:c>
      <x:c r="B47" s="6" t="str">
        <x:v>2026-04</x:v>
      </x:c>
      <x:c r="C47" s="6" t="str">
        <x:v>ORD-1046</x:v>
      </x:c>
      <x:c r="D47" s="6" t="str">
        <x:v>West</x:v>
      </x:c>
      <x:c r="E47" s="6" t="str">
        <x:v>Starter</x:v>
      </x:c>
      <x:c r="F47" s="6" t="str">
        <x:v>Online</x:v>
      </x:c>
      <x:c r="G47" s="6" t="str">
        <x:v>Existing</x:v>
      </x:c>
      <x:c r="H47" s="4" t="n">
        <x:v>26</x:v>
      </x:c>
      <x:c r="I47" s="5" t="n">
        <x:v>3120</x:v>
      </x:c>
      <x:c r="J47" s="5" t="n">
        <x:v>1934</x:v>
      </x:c>
      <x:c r="K47" s="6" t="str">
        <x:v>No</x:v>
      </x:c>
    </x:row>
    <x:row r="48">
      <x:c r="A48" s="3" t="n">
        <x:v>46130</x:v>
      </x:c>
      <x:c r="B48" s="6" t="str">
        <x:v>2026-04</x:v>
      </x:c>
      <x:c r="C48" s="6" t="str">
        <x:v>ORD-1047</x:v>
      </x:c>
      <x:c r="D48" s="6" t="str">
        <x:v>West</x:v>
      </x:c>
      <x:c r="E48" s="6" t="str">
        <x:v>Pro</x:v>
      </x:c>
      <x:c r="F48" s="6" t="str">
        <x:v>Retail</x:v>
      </x:c>
      <x:c r="G48" s="6" t="str">
        <x:v>Existing</x:v>
      </x:c>
      <x:c r="H48" s="4" t="n">
        <x:v>30</x:v>
      </x:c>
      <x:c r="I48" s="5" t="n">
        <x:v>6600</x:v>
      </x:c>
      <x:c r="J48" s="5" t="n">
        <x:v>4356</x:v>
      </x:c>
      <x:c r="K48" s="6" t="str">
        <x:v>No</x:v>
      </x:c>
    </x:row>
    <x:row r="49">
      <x:c r="A49" s="3" t="n">
        <x:v>46131</x:v>
      </x:c>
      <x:c r="B49" s="6" t="str">
        <x:v>2026-04</x:v>
      </x:c>
      <x:c r="C49" s="6" t="str">
        <x:v>ORD-1048</x:v>
      </x:c>
      <x:c r="D49" s="6" t="str">
        <x:v>West</x:v>
      </x:c>
      <x:c r="E49" s="6" t="str">
        <x:v>Enterprise</x:v>
      </x:c>
      <x:c r="F49" s="6" t="str">
        <x:v>Partner</x:v>
      </x:c>
      <x:c r="G49" s="6" t="str">
        <x:v>New</x:v>
      </x:c>
      <x:c r="H49" s="4" t="n">
        <x:v>34</x:v>
      </x:c>
      <x:c r="I49" s="5" t="n">
        <x:v>12240</x:v>
      </x:c>
      <x:c r="J49" s="5" t="n">
        <x:v>8568</x:v>
      </x:c>
      <x:c r="K49" s="6" t="str">
        <x:v>No</x:v>
      </x:c>
    </x:row>
    <x:row r="50">
      <x:c r="A50" s="3" t="n">
        <x:v>46147</x:v>
      </x:c>
      <x:c r="B50" s="6" t="str">
        <x:v>2026-05</x:v>
      </x:c>
      <x:c r="C50" s="6" t="str">
        <x:v>ORD-1049</x:v>
      </x:c>
      <x:c r="D50" s="6" t="str">
        <x:v>North</x:v>
      </x:c>
      <x:c r="E50" s="6" t="str">
        <x:v>Starter</x:v>
      </x:c>
      <x:c r="F50" s="6" t="str">
        <x:v>Retail</x:v>
      </x:c>
      <x:c r="G50" s="6" t="str">
        <x:v>Existing</x:v>
      </x:c>
      <x:c r="H50" s="4" t="n">
        <x:v>19</x:v>
      </x:c>
      <x:c r="I50" s="5" t="n">
        <x:v>2280</x:v>
      </x:c>
      <x:c r="J50" s="5" t="n">
        <x:v>1414</x:v>
      </x:c>
      <x:c r="K50" s="6" t="str">
        <x:v>No</x:v>
      </x:c>
    </x:row>
    <x:row r="51">
      <x:c r="A51" s="3" t="n">
        <x:v>46148</x:v>
      </x:c>
      <x:c r="B51" s="6" t="str">
        <x:v>2026-05</x:v>
      </x:c>
      <x:c r="C51" s="6" t="str">
        <x:v>ORD-1050</x:v>
      </x:c>
      <x:c r="D51" s="6" t="str">
        <x:v>North</x:v>
      </x:c>
      <x:c r="E51" s="6" t="str">
        <x:v>Pro</x:v>
      </x:c>
      <x:c r="F51" s="6" t="str">
        <x:v>Partner</x:v>
      </x:c>
      <x:c r="G51" s="6" t="str">
        <x:v>Existing</x:v>
      </x:c>
      <x:c r="H51" s="4" t="n">
        <x:v>23</x:v>
      </x:c>
      <x:c r="I51" s="5" t="n">
        <x:v>5060</x:v>
      </x:c>
      <x:c r="J51" s="5" t="n">
        <x:v>3340</x:v>
      </x:c>
      <x:c r="K51" s="6" t="str">
        <x:v>No</x:v>
      </x:c>
    </x:row>
    <x:row r="52">
      <x:c r="A52" s="3" t="n">
        <x:v>46149</x:v>
      </x:c>
      <x:c r="B52" s="6" t="str">
        <x:v>2026-05</x:v>
      </x:c>
      <x:c r="C52" s="6" t="str">
        <x:v>ORD-1051</x:v>
      </x:c>
      <x:c r="D52" s="6" t="str">
        <x:v>North</x:v>
      </x:c>
      <x:c r="E52" s="6" t="str">
        <x:v>Enterprise</x:v>
      </x:c>
      <x:c r="F52" s="6" t="str">
        <x:v>Online</x:v>
      </x:c>
      <x:c r="G52" s="6" t="str">
        <x:v>New</x:v>
      </x:c>
      <x:c r="H52" s="4" t="n">
        <x:v>27</x:v>
      </x:c>
      <x:c r="I52" s="5" t="n">
        <x:v>9720</x:v>
      </x:c>
      <x:c r="J52" s="5" t="n">
        <x:v>6804</x:v>
      </x:c>
      <x:c r="K52" s="6" t="str">
        <x:v>No</x:v>
      </x:c>
    </x:row>
    <x:row r="53">
      <x:c r="A53" s="3" t="n">
        <x:v>46151</x:v>
      </x:c>
      <x:c r="B53" s="6" t="str">
        <x:v>2026-05</x:v>
      </x:c>
      <x:c r="C53" s="6" t="str">
        <x:v>ORD-1052</x:v>
      </x:c>
      <x:c r="D53" s="6" t="str">
        <x:v>South</x:v>
      </x:c>
      <x:c r="E53" s="6" t="str">
        <x:v>Starter</x:v>
      </x:c>
      <x:c r="F53" s="6" t="str">
        <x:v>Partner</x:v>
      </x:c>
      <x:c r="G53" s="6" t="str">
        <x:v>Existing</x:v>
      </x:c>
      <x:c r="H53" s="4" t="n">
        <x:v>22</x:v>
      </x:c>
      <x:c r="I53" s="5" t="n">
        <x:v>2640</x:v>
      </x:c>
      <x:c r="J53" s="5" t="n">
        <x:v>1637</x:v>
      </x:c>
      <x:c r="K53" s="6" t="str">
        <x:v>No</x:v>
      </x:c>
    </x:row>
    <x:row r="54">
      <x:c r="A54" s="3" t="n">
        <x:v>46152</x:v>
      </x:c>
      <x:c r="B54" s="6" t="str">
        <x:v>2026-05</x:v>
      </x:c>
      <x:c r="C54" s="6" t="str">
        <x:v>ORD-1053</x:v>
      </x:c>
      <x:c r="D54" s="6" t="str">
        <x:v>South</x:v>
      </x:c>
      <x:c r="E54" s="6" t="str">
        <x:v>Pro</x:v>
      </x:c>
      <x:c r="F54" s="6" t="str">
        <x:v>Online</x:v>
      </x:c>
      <x:c r="G54" s="6" t="str">
        <x:v>Existing</x:v>
      </x:c>
      <x:c r="H54" s="4" t="n">
        <x:v>26</x:v>
      </x:c>
      <x:c r="I54" s="5" t="n">
        <x:v>5720</x:v>
      </x:c>
      <x:c r="J54" s="5" t="n">
        <x:v>3775</x:v>
      </x:c>
      <x:c r="K54" s="6" t="str">
        <x:v>No</x:v>
      </x:c>
    </x:row>
    <x:row r="55">
      <x:c r="A55" s="3" t="n">
        <x:v>46153</x:v>
      </x:c>
      <x:c r="B55" s="6" t="str">
        <x:v>2026-05</x:v>
      </x:c>
      <x:c r="C55" s="6" t="str">
        <x:v>ORD-1054</x:v>
      </x:c>
      <x:c r="D55" s="6" t="str">
        <x:v>South</x:v>
      </x:c>
      <x:c r="E55" s="6" t="str">
        <x:v>Enterprise</x:v>
      </x:c>
      <x:c r="F55" s="6" t="str">
        <x:v>Retail</x:v>
      </x:c>
      <x:c r="G55" s="6" t="str">
        <x:v>New</x:v>
      </x:c>
      <x:c r="H55" s="4" t="n">
        <x:v>30</x:v>
      </x:c>
      <x:c r="I55" s="5" t="n">
        <x:v>10800</x:v>
      </x:c>
      <x:c r="J55" s="5" t="n">
        <x:v>7560</x:v>
      </x:c>
      <x:c r="K55" s="6" t="str">
        <x:v>Yes</x:v>
      </x:c>
    </x:row>
    <x:row r="56">
      <x:c r="A56" s="3" t="n">
        <x:v>46155</x:v>
      </x:c>
      <x:c r="B56" s="6" t="str">
        <x:v>2026-05</x:v>
      </x:c>
      <x:c r="C56" s="6" t="str">
        <x:v>ORD-1055</x:v>
      </x:c>
      <x:c r="D56" s="6" t="str">
        <x:v>East</x:v>
      </x:c>
      <x:c r="E56" s="6" t="str">
        <x:v>Starter</x:v>
      </x:c>
      <x:c r="F56" s="6" t="str">
        <x:v>Online</x:v>
      </x:c>
      <x:c r="G56" s="6" t="str">
        <x:v>Existing</x:v>
      </x:c>
      <x:c r="H56" s="4" t="n">
        <x:v>25</x:v>
      </x:c>
      <x:c r="I56" s="5" t="n">
        <x:v>3000</x:v>
      </x:c>
      <x:c r="J56" s="5" t="n">
        <x:v>1860</x:v>
      </x:c>
      <x:c r="K56" s="6" t="str">
        <x:v>No</x:v>
      </x:c>
    </x:row>
    <x:row r="57">
      <x:c r="A57" s="3" t="n">
        <x:v>46156</x:v>
      </x:c>
      <x:c r="B57" s="6" t="str">
        <x:v>2026-05</x:v>
      </x:c>
      <x:c r="C57" s="6" t="str">
        <x:v>ORD-1056</x:v>
      </x:c>
      <x:c r="D57" s="6" t="str">
        <x:v>East</x:v>
      </x:c>
      <x:c r="E57" s="6" t="str">
        <x:v>Pro</x:v>
      </x:c>
      <x:c r="F57" s="6" t="str">
        <x:v>Retail</x:v>
      </x:c>
      <x:c r="G57" s="6" t="str">
        <x:v>Existing</x:v>
      </x:c>
      <x:c r="H57" s="4" t="n">
        <x:v>29</x:v>
      </x:c>
      <x:c r="I57" s="5" t="n">
        <x:v>6380</x:v>
      </x:c>
      <x:c r="J57" s="5" t="n">
        <x:v>4211</x:v>
      </x:c>
      <x:c r="K57" s="6" t="str">
        <x:v>No</x:v>
      </x:c>
    </x:row>
    <x:row r="58">
      <x:c r="A58" s="3" t="n">
        <x:v>46157</x:v>
      </x:c>
      <x:c r="B58" s="6" t="str">
        <x:v>2026-05</x:v>
      </x:c>
      <x:c r="C58" s="6" t="str">
        <x:v>ORD-1057</x:v>
      </x:c>
      <x:c r="D58" s="6" t="str">
        <x:v>East</x:v>
      </x:c>
      <x:c r="E58" s="6" t="str">
        <x:v>Enterprise</x:v>
      </x:c>
      <x:c r="F58" s="6" t="str">
        <x:v>Partner</x:v>
      </x:c>
      <x:c r="G58" s="6" t="str">
        <x:v>New</x:v>
      </x:c>
      <x:c r="H58" s="4" t="n">
        <x:v>33</x:v>
      </x:c>
      <x:c r="I58" s="5" t="n">
        <x:v>11880</x:v>
      </x:c>
      <x:c r="J58" s="5" t="n">
        <x:v>8316</x:v>
      </x:c>
      <x:c r="K58" s="6" t="str">
        <x:v>No</x:v>
      </x:c>
    </x:row>
    <x:row r="59">
      <x:c r="A59" s="3" t="n">
        <x:v>46159</x:v>
      </x:c>
      <x:c r="B59" s="6" t="str">
        <x:v>2026-05</x:v>
      </x:c>
      <x:c r="C59" s="6" t="str">
        <x:v>ORD-1058</x:v>
      </x:c>
      <x:c r="D59" s="6" t="str">
        <x:v>West</x:v>
      </x:c>
      <x:c r="E59" s="6" t="str">
        <x:v>Starter</x:v>
      </x:c>
      <x:c r="F59" s="6" t="str">
        <x:v>Retail</x:v>
      </x:c>
      <x:c r="G59" s="6" t="str">
        <x:v>Existing</x:v>
      </x:c>
      <x:c r="H59" s="4" t="n">
        <x:v>28</x:v>
      </x:c>
      <x:c r="I59" s="5" t="n">
        <x:v>3360</x:v>
      </x:c>
      <x:c r="J59" s="5" t="n">
        <x:v>2083</x:v>
      </x:c>
      <x:c r="K59" s="6" t="str">
        <x:v>No</x:v>
      </x:c>
    </x:row>
    <x:row r="60">
      <x:c r="A60" s="3" t="n">
        <x:v>46160</x:v>
      </x:c>
      <x:c r="B60" s="6" t="str">
        <x:v>2026-05</x:v>
      </x:c>
      <x:c r="C60" s="6" t="str">
        <x:v>ORD-1059</x:v>
      </x:c>
      <x:c r="D60" s="6" t="str">
        <x:v>West</x:v>
      </x:c>
      <x:c r="E60" s="6" t="str">
        <x:v>Pro</x:v>
      </x:c>
      <x:c r="F60" s="6" t="str">
        <x:v>Partner</x:v>
      </x:c>
      <x:c r="G60" s="6" t="str">
        <x:v>Existing</x:v>
      </x:c>
      <x:c r="H60" s="4" t="n">
        <x:v>32</x:v>
      </x:c>
      <x:c r="I60" s="5" t="n">
        <x:v>7040</x:v>
      </x:c>
      <x:c r="J60" s="5" t="n">
        <x:v>4646</x:v>
      </x:c>
      <x:c r="K60" s="6" t="str">
        <x:v>No</x:v>
      </x:c>
    </x:row>
    <x:row r="61">
      <x:c r="A61" s="3" t="n">
        <x:v>46161</x:v>
      </x:c>
      <x:c r="B61" s="6" t="str">
        <x:v>2026-05</x:v>
      </x:c>
      <x:c r="C61" s="6" t="str">
        <x:v>ORD-1060</x:v>
      </x:c>
      <x:c r="D61" s="6" t="str">
        <x:v>West</x:v>
      </x:c>
      <x:c r="E61" s="6" t="str">
        <x:v>Enterprise</x:v>
      </x:c>
      <x:c r="F61" s="6" t="str">
        <x:v>Online</x:v>
      </x:c>
      <x:c r="G61" s="6" t="str">
        <x:v>New</x:v>
      </x:c>
      <x:c r="H61" s="4" t="n">
        <x:v>36</x:v>
      </x:c>
      <x:c r="I61" s="5" t="n">
        <x:v>12960</x:v>
      </x:c>
      <x:c r="J61" s="5" t="n">
        <x:v>9072</x:v>
      </x:c>
      <x:c r="K61" s="6" t="str">
        <x:v>No</x:v>
      </x:c>
    </x:row>
    <x:row r="62">
      <x:c r="A62" s="3" t="n">
        <x:v>46178</x:v>
      </x:c>
      <x:c r="B62" s="6" t="str">
        <x:v>2026-06</x:v>
      </x:c>
      <x:c r="C62" s="6" t="str">
        <x:v>ORD-1061</x:v>
      </x:c>
      <x:c r="D62" s="6" t="str">
        <x:v>North</x:v>
      </x:c>
      <x:c r="E62" s="6" t="str">
        <x:v>Starter</x:v>
      </x:c>
      <x:c r="F62" s="6" t="str">
        <x:v>Partner</x:v>
      </x:c>
      <x:c r="G62" s="6" t="str">
        <x:v>Existing</x:v>
      </x:c>
      <x:c r="H62" s="4" t="n">
        <x:v>21</x:v>
      </x:c>
      <x:c r="I62" s="5" t="n">
        <x:v>2520</x:v>
      </x:c>
      <x:c r="J62" s="5" t="n">
        <x:v>1562</x:v>
      </x:c>
      <x:c r="K62" s="6" t="str">
        <x:v>No</x:v>
      </x:c>
    </x:row>
    <x:row r="63">
      <x:c r="A63" s="3" t="n">
        <x:v>46179</x:v>
      </x:c>
      <x:c r="B63" s="6" t="str">
        <x:v>2026-06</x:v>
      </x:c>
      <x:c r="C63" s="6" t="str">
        <x:v>ORD-1062</x:v>
      </x:c>
      <x:c r="D63" s="6" t="str">
        <x:v>North</x:v>
      </x:c>
      <x:c r="E63" s="6" t="str">
        <x:v>Pro</x:v>
      </x:c>
      <x:c r="F63" s="6" t="str">
        <x:v>Online</x:v>
      </x:c>
      <x:c r="G63" s="6" t="str">
        <x:v>Existing</x:v>
      </x:c>
      <x:c r="H63" s="4" t="n">
        <x:v>25</x:v>
      </x:c>
      <x:c r="I63" s="5" t="n">
        <x:v>5500</x:v>
      </x:c>
      <x:c r="J63" s="5" t="n">
        <x:v>3630</x:v>
      </x:c>
      <x:c r="K63" s="6" t="str">
        <x:v>No</x:v>
      </x:c>
    </x:row>
    <x:row r="64">
      <x:c r="A64" s="3" t="n">
        <x:v>46180</x:v>
      </x:c>
      <x:c r="B64" s="6" t="str">
        <x:v>2026-06</x:v>
      </x:c>
      <x:c r="C64" s="6" t="str">
        <x:v>ORD-1063</x:v>
      </x:c>
      <x:c r="D64" s="6" t="str">
        <x:v>North</x:v>
      </x:c>
      <x:c r="E64" s="6" t="str">
        <x:v>Enterprise</x:v>
      </x:c>
      <x:c r="F64" s="6" t="str">
        <x:v>Retail</x:v>
      </x:c>
      <x:c r="G64" s="6" t="str">
        <x:v>New</x:v>
      </x:c>
      <x:c r="H64" s="4" t="n">
        <x:v>29</x:v>
      </x:c>
      <x:c r="I64" s="5" t="n">
        <x:v>10440</x:v>
      </x:c>
      <x:c r="J64" s="5" t="n">
        <x:v>7308</x:v>
      </x:c>
      <x:c r="K64" s="6" t="str">
        <x:v>No</x:v>
      </x:c>
    </x:row>
    <x:row r="65">
      <x:c r="A65" s="3" t="n">
        <x:v>46182</x:v>
      </x:c>
      <x:c r="B65" s="6" t="str">
        <x:v>2026-06</x:v>
      </x:c>
      <x:c r="C65" s="6" t="str">
        <x:v>ORD-1064</x:v>
      </x:c>
      <x:c r="D65" s="6" t="str">
        <x:v>South</x:v>
      </x:c>
      <x:c r="E65" s="6" t="str">
        <x:v>Starter</x:v>
      </x:c>
      <x:c r="F65" s="6" t="str">
        <x:v>Online</x:v>
      </x:c>
      <x:c r="G65" s="6" t="str">
        <x:v>Existing</x:v>
      </x:c>
      <x:c r="H65" s="4" t="n">
        <x:v>24</x:v>
      </x:c>
      <x:c r="I65" s="5" t="n">
        <x:v>2880</x:v>
      </x:c>
      <x:c r="J65" s="5" t="n">
        <x:v>1786</x:v>
      </x:c>
      <x:c r="K65" s="6" t="str">
        <x:v>No</x:v>
      </x:c>
    </x:row>
    <x:row r="66">
      <x:c r="A66" s="3" t="n">
        <x:v>46183</x:v>
      </x:c>
      <x:c r="B66" s="6" t="str">
        <x:v>2026-06</x:v>
      </x:c>
      <x:c r="C66" s="6" t="str">
        <x:v>ORD-1065</x:v>
      </x:c>
      <x:c r="D66" s="6" t="str">
        <x:v>South</x:v>
      </x:c>
      <x:c r="E66" s="6" t="str">
        <x:v>Pro</x:v>
      </x:c>
      <x:c r="F66" s="6" t="str">
        <x:v>Retail</x:v>
      </x:c>
      <x:c r="G66" s="6" t="str">
        <x:v>Existing</x:v>
      </x:c>
      <x:c r="H66" s="4" t="n">
        <x:v>28</x:v>
      </x:c>
      <x:c r="I66" s="5" t="n">
        <x:v>6160</x:v>
      </x:c>
      <x:c r="J66" s="5" t="n">
        <x:v>4066</x:v>
      </x:c>
      <x:c r="K66" s="6" t="str">
        <x:v>No</x:v>
      </x:c>
    </x:row>
    <x:row r="67">
      <x:c r="A67" s="3" t="n">
        <x:v>46184</x:v>
      </x:c>
      <x:c r="B67" s="6" t="str">
        <x:v>2026-06</x:v>
      </x:c>
      <x:c r="C67" s="6" t="str">
        <x:v>ORD-1066</x:v>
      </x:c>
      <x:c r="D67" s="6" t="str">
        <x:v>South</x:v>
      </x:c>
      <x:c r="E67" s="6" t="str">
        <x:v>Enterprise</x:v>
      </x:c>
      <x:c r="F67" s="6" t="str">
        <x:v>Partner</x:v>
      </x:c>
      <x:c r="G67" s="6" t="str">
        <x:v>New</x:v>
      </x:c>
      <x:c r="H67" s="4" t="n">
        <x:v>32</x:v>
      </x:c>
      <x:c r="I67" s="5" t="n">
        <x:v>11520</x:v>
      </x:c>
      <x:c r="J67" s="5" t="n">
        <x:v>8064</x:v>
      </x:c>
      <x:c r="K67" s="6" t="str">
        <x:v>No</x:v>
      </x:c>
    </x:row>
    <x:row r="68">
      <x:c r="A68" s="3" t="n">
        <x:v>46186</x:v>
      </x:c>
      <x:c r="B68" s="6" t="str">
        <x:v>2026-06</x:v>
      </x:c>
      <x:c r="C68" s="6" t="str">
        <x:v>ORD-1067</x:v>
      </x:c>
      <x:c r="D68" s="6" t="str">
        <x:v>East</x:v>
      </x:c>
      <x:c r="E68" s="6" t="str">
        <x:v>Starter</x:v>
      </x:c>
      <x:c r="F68" s="6" t="str">
        <x:v>Retail</x:v>
      </x:c>
      <x:c r="G68" s="6" t="str">
        <x:v>Existing</x:v>
      </x:c>
      <x:c r="H68" s="4" t="n">
        <x:v>27</x:v>
      </x:c>
      <x:c r="I68" s="5" t="n">
        <x:v>3240</x:v>
      </x:c>
      <x:c r="J68" s="5" t="n">
        <x:v>2009</x:v>
      </x:c>
      <x:c r="K68" s="6" t="str">
        <x:v>No</x:v>
      </x:c>
    </x:row>
    <x:row r="69">
      <x:c r="A69" s="3" t="n">
        <x:v>46187</x:v>
      </x:c>
      <x:c r="B69" s="6" t="str">
        <x:v>2026-06</x:v>
      </x:c>
      <x:c r="C69" s="6" t="str">
        <x:v>ORD-1068</x:v>
      </x:c>
      <x:c r="D69" s="6" t="str">
        <x:v>East</x:v>
      </x:c>
      <x:c r="E69" s="6" t="str">
        <x:v>Pro</x:v>
      </x:c>
      <x:c r="F69" s="6" t="str">
        <x:v>Partner</x:v>
      </x:c>
      <x:c r="G69" s="6" t="str">
        <x:v>Existing</x:v>
      </x:c>
      <x:c r="H69" s="4" t="n">
        <x:v>31</x:v>
      </x:c>
      <x:c r="I69" s="5" t="n">
        <x:v>6820</x:v>
      </x:c>
      <x:c r="J69" s="5" t="n">
        <x:v>4501</x:v>
      </x:c>
      <x:c r="K69" s="6" t="str">
        <x:v>No</x:v>
      </x:c>
    </x:row>
    <x:row r="70">
      <x:c r="A70" s="3" t="n">
        <x:v>46188</x:v>
      </x:c>
      <x:c r="B70" s="6" t="str">
        <x:v>2026-06</x:v>
      </x:c>
      <x:c r="C70" s="6" t="str">
        <x:v>ORD-1069</x:v>
      </x:c>
      <x:c r="D70" s="6" t="str">
        <x:v>East</x:v>
      </x:c>
      <x:c r="E70" s="6" t="str">
        <x:v>Enterprise</x:v>
      </x:c>
      <x:c r="F70" s="6" t="str">
        <x:v>Online</x:v>
      </x:c>
      <x:c r="G70" s="6" t="str">
        <x:v>New</x:v>
      </x:c>
      <x:c r="H70" s="4" t="n">
        <x:v>35</x:v>
      </x:c>
      <x:c r="I70" s="5" t="n">
        <x:v>12600</x:v>
      </x:c>
      <x:c r="J70" s="5" t="n">
        <x:v>8820</x:v>
      </x:c>
      <x:c r="K70" s="6" t="str">
        <x:v>No</x:v>
      </x:c>
    </x:row>
    <x:row r="71">
      <x:c r="A71" s="3" t="n">
        <x:v>46190</x:v>
      </x:c>
      <x:c r="B71" s="6" t="str">
        <x:v>2026-06</x:v>
      </x:c>
      <x:c r="C71" s="6" t="str">
        <x:v>ORD-1070</x:v>
      </x:c>
      <x:c r="D71" s="6" t="str">
        <x:v>West</x:v>
      </x:c>
      <x:c r="E71" s="6" t="str">
        <x:v>Starter</x:v>
      </x:c>
      <x:c r="F71" s="6" t="str">
        <x:v>Partner</x:v>
      </x:c>
      <x:c r="G71" s="6" t="str">
        <x:v>Existing</x:v>
      </x:c>
      <x:c r="H71" s="4" t="n">
        <x:v>30</x:v>
      </x:c>
      <x:c r="I71" s="5" t="n">
        <x:v>3600</x:v>
      </x:c>
      <x:c r="J71" s="5" t="n">
        <x:v>2232</x:v>
      </x:c>
      <x:c r="K71" s="6" t="str">
        <x:v>No</x:v>
      </x:c>
    </x:row>
    <x:row r="72">
      <x:c r="A72" s="3" t="n">
        <x:v>46191</x:v>
      </x:c>
      <x:c r="B72" s="6" t="str">
        <x:v>2026-06</x:v>
      </x:c>
      <x:c r="C72" s="6" t="str">
        <x:v>ORD-1071</x:v>
      </x:c>
      <x:c r="D72" s="6" t="str">
        <x:v>West</x:v>
      </x:c>
      <x:c r="E72" s="6" t="str">
        <x:v>Pro</x:v>
      </x:c>
      <x:c r="F72" s="6" t="str">
        <x:v>Online</x:v>
      </x:c>
      <x:c r="G72" s="6" t="str">
        <x:v>Existing</x:v>
      </x:c>
      <x:c r="H72" s="4" t="n">
        <x:v>34</x:v>
      </x:c>
      <x:c r="I72" s="5" t="n">
        <x:v>7480</x:v>
      </x:c>
      <x:c r="J72" s="5" t="n">
        <x:v>4937</x:v>
      </x:c>
      <x:c r="K72" s="6" t="str">
        <x:v>Yes</x:v>
      </x:c>
    </x:row>
    <x:row r="73">
      <x:c r="A73" s="3" t="n">
        <x:v>46192</x:v>
      </x:c>
      <x:c r="B73" s="6" t="str">
        <x:v>2026-06</x:v>
      </x:c>
      <x:c r="C73" s="6" t="str">
        <x:v>ORD-1072</x:v>
      </x:c>
      <x:c r="D73" s="6" t="str">
        <x:v>West</x:v>
      </x:c>
      <x:c r="E73" s="6" t="str">
        <x:v>Enterprise</x:v>
      </x:c>
      <x:c r="F73" s="6" t="str">
        <x:v>Retail</x:v>
      </x:c>
      <x:c r="G73" s="6" t="str">
        <x:v>New</x:v>
      </x:c>
      <x:c r="H73" s="4" t="n">
        <x:v>38</x:v>
      </x:c>
      <x:c r="I73" s="5" t="n">
        <x:v>13680</x:v>
      </x:c>
      <x:c r="J73" s="5" t="n">
        <x:v>9576</x:v>
      </x:c>
      <x:c r="K73" s="6" t="str">
        <x:v>No</x:v>
      </x:c>
    </x:row>
    <x:row r="74">
      <x:c r="A74" s="3" t="n">
        <x:v>46208</x:v>
      </x:c>
      <x:c r="B74" s="6" t="str">
        <x:v>2026-07</x:v>
      </x:c>
      <x:c r="C74" s="6" t="str">
        <x:v>ORD-1073</x:v>
      </x:c>
      <x:c r="D74" s="6" t="str">
        <x:v>North</x:v>
      </x:c>
      <x:c r="E74" s="6" t="str">
        <x:v>Starter</x:v>
      </x:c>
      <x:c r="F74" s="6" t="str">
        <x:v>Online</x:v>
      </x:c>
      <x:c r="G74" s="6" t="str">
        <x:v>Existing</x:v>
      </x:c>
      <x:c r="H74" s="4" t="n">
        <x:v>23</x:v>
      </x:c>
      <x:c r="I74" s="5" t="n">
        <x:v>2760</x:v>
      </x:c>
      <x:c r="J74" s="5" t="n">
        <x:v>1711</x:v>
      </x:c>
      <x:c r="K74" s="6" t="str">
        <x:v>No</x:v>
      </x:c>
    </x:row>
    <x:row r="75">
      <x:c r="A75" s="3" t="n">
        <x:v>46209</x:v>
      </x:c>
      <x:c r="B75" s="6" t="str">
        <x:v>2026-07</x:v>
      </x:c>
      <x:c r="C75" s="6" t="str">
        <x:v>ORD-1074</x:v>
      </x:c>
      <x:c r="D75" s="6" t="str">
        <x:v>North</x:v>
      </x:c>
      <x:c r="E75" s="6" t="str">
        <x:v>Pro</x:v>
      </x:c>
      <x:c r="F75" s="6" t="str">
        <x:v>Retail</x:v>
      </x:c>
      <x:c r="G75" s="6" t="str">
        <x:v>Existing</x:v>
      </x:c>
      <x:c r="H75" s="4" t="n">
        <x:v>27</x:v>
      </x:c>
      <x:c r="I75" s="5" t="n">
        <x:v>5940</x:v>
      </x:c>
      <x:c r="J75" s="5" t="n">
        <x:v>3920</x:v>
      </x:c>
      <x:c r="K75" s="6" t="str">
        <x:v>No</x:v>
      </x:c>
    </x:row>
    <x:row r="76">
      <x:c r="A76" s="3" t="n">
        <x:v>46210</x:v>
      </x:c>
      <x:c r="B76" s="6" t="str">
        <x:v>2026-07</x:v>
      </x:c>
      <x:c r="C76" s="6" t="str">
        <x:v>ORD-1075</x:v>
      </x:c>
      <x:c r="D76" s="6" t="str">
        <x:v>North</x:v>
      </x:c>
      <x:c r="E76" s="6" t="str">
        <x:v>Enterprise</x:v>
      </x:c>
      <x:c r="F76" s="6" t="str">
        <x:v>Partner</x:v>
      </x:c>
      <x:c r="G76" s="6" t="str">
        <x:v>New</x:v>
      </x:c>
      <x:c r="H76" s="4" t="n">
        <x:v>31</x:v>
      </x:c>
      <x:c r="I76" s="5" t="n">
        <x:v>11160</x:v>
      </x:c>
      <x:c r="J76" s="5" t="n">
        <x:v>7812</x:v>
      </x:c>
      <x:c r="K76" s="6" t="str">
        <x:v>No</x:v>
      </x:c>
    </x:row>
    <x:row r="77">
      <x:c r="A77" s="3" t="n">
        <x:v>46212</x:v>
      </x:c>
      <x:c r="B77" s="6" t="str">
        <x:v>2026-07</x:v>
      </x:c>
      <x:c r="C77" s="6" t="str">
        <x:v>ORD-1076</x:v>
      </x:c>
      <x:c r="D77" s="6" t="str">
        <x:v>South</x:v>
      </x:c>
      <x:c r="E77" s="6" t="str">
        <x:v>Starter</x:v>
      </x:c>
      <x:c r="F77" s="6" t="str">
        <x:v>Retail</x:v>
      </x:c>
      <x:c r="G77" s="6" t="str">
        <x:v>Existing</x:v>
      </x:c>
      <x:c r="H77" s="4" t="n">
        <x:v>26</x:v>
      </x:c>
      <x:c r="I77" s="5" t="n">
        <x:v>3120</x:v>
      </x:c>
      <x:c r="J77" s="5" t="n">
        <x:v>1934</x:v>
      </x:c>
      <x:c r="K77" s="6" t="str">
        <x:v>No</x:v>
      </x:c>
    </x:row>
    <x:row r="78">
      <x:c r="A78" s="3" t="n">
        <x:v>46213</x:v>
      </x:c>
      <x:c r="B78" s="6" t="str">
        <x:v>2026-07</x:v>
      </x:c>
      <x:c r="C78" s="6" t="str">
        <x:v>ORD-1077</x:v>
      </x:c>
      <x:c r="D78" s="6" t="str">
        <x:v>South</x:v>
      </x:c>
      <x:c r="E78" s="6" t="str">
        <x:v>Pro</x:v>
      </x:c>
      <x:c r="F78" s="6" t="str">
        <x:v>Partner</x:v>
      </x:c>
      <x:c r="G78" s="6" t="str">
        <x:v>Existing</x:v>
      </x:c>
      <x:c r="H78" s="4" t="n">
        <x:v>30</x:v>
      </x:c>
      <x:c r="I78" s="5" t="n">
        <x:v>6600</x:v>
      </x:c>
      <x:c r="J78" s="5" t="n">
        <x:v>4356</x:v>
      </x:c>
      <x:c r="K78" s="6" t="str">
        <x:v>No</x:v>
      </x:c>
    </x:row>
    <x:row r="79">
      <x:c r="A79" s="3" t="n">
        <x:v>46214</x:v>
      </x:c>
      <x:c r="B79" s="6" t="str">
        <x:v>2026-07</x:v>
      </x:c>
      <x:c r="C79" s="6" t="str">
        <x:v>ORD-1078</x:v>
      </x:c>
      <x:c r="D79" s="6" t="str">
        <x:v>South</x:v>
      </x:c>
      <x:c r="E79" s="6" t="str">
        <x:v>Enterprise</x:v>
      </x:c>
      <x:c r="F79" s="6" t="str">
        <x:v>Online</x:v>
      </x:c>
      <x:c r="G79" s="6" t="str">
        <x:v>New</x:v>
      </x:c>
      <x:c r="H79" s="4" t="n">
        <x:v>34</x:v>
      </x:c>
      <x:c r="I79" s="5" t="n">
        <x:v>12240</x:v>
      </x:c>
      <x:c r="J79" s="5" t="n">
        <x:v>8568</x:v>
      </x:c>
      <x:c r="K79" s="6" t="str">
        <x:v>No</x:v>
      </x:c>
    </x:row>
    <x:row r="80">
      <x:c r="A80" s="3" t="n">
        <x:v>46216</x:v>
      </x:c>
      <x:c r="B80" s="6" t="str">
        <x:v>2026-07</x:v>
      </x:c>
      <x:c r="C80" s="6" t="str">
        <x:v>ORD-1079</x:v>
      </x:c>
      <x:c r="D80" s="6" t="str">
        <x:v>East</x:v>
      </x:c>
      <x:c r="E80" s="6" t="str">
        <x:v>Starter</x:v>
      </x:c>
      <x:c r="F80" s="6" t="str">
        <x:v>Partner</x:v>
      </x:c>
      <x:c r="G80" s="6" t="str">
        <x:v>Existing</x:v>
      </x:c>
      <x:c r="H80" s="4" t="n">
        <x:v>15</x:v>
      </x:c>
      <x:c r="I80" s="5" t="n">
        <x:v>1800</x:v>
      </x:c>
      <x:c r="J80" s="5" t="n">
        <x:v>1116</x:v>
      </x:c>
      <x:c r="K80" s="6" t="str">
        <x:v>No</x:v>
      </x:c>
    </x:row>
    <x:row r="81">
      <x:c r="A81" s="3" t="n">
        <x:v>46217</x:v>
      </x:c>
      <x:c r="B81" s="6" t="str">
        <x:v>2026-07</x:v>
      </x:c>
      <x:c r="C81" s="6" t="str">
        <x:v>ORD-1080</x:v>
      </x:c>
      <x:c r="D81" s="6" t="str">
        <x:v>East</x:v>
      </x:c>
      <x:c r="E81" s="6" t="str">
        <x:v>Pro</x:v>
      </x:c>
      <x:c r="F81" s="6" t="str">
        <x:v>Online</x:v>
      </x:c>
      <x:c r="G81" s="6" t="str">
        <x:v>Existing</x:v>
      </x:c>
      <x:c r="H81" s="4" t="n">
        <x:v>17</x:v>
      </x:c>
      <x:c r="I81" s="5" t="n">
        <x:v>3740</x:v>
      </x:c>
      <x:c r="J81" s="5" t="n">
        <x:v>2468</x:v>
      </x:c>
      <x:c r="K81" s="6" t="str">
        <x:v>No</x:v>
      </x:c>
    </x:row>
    <x:row r="82">
      <x:c r="A82" s="3" t="n">
        <x:v>46218</x:v>
      </x:c>
      <x:c r="B82" s="6" t="str">
        <x:v>2026-07</x:v>
      </x:c>
      <x:c r="C82" s="6" t="str">
        <x:v>ORD-1081</x:v>
      </x:c>
      <x:c r="D82" s="6" t="str">
        <x:v>East</x:v>
      </x:c>
      <x:c r="E82" s="6" t="str">
        <x:v>Enterprise</x:v>
      </x:c>
      <x:c r="F82" s="6" t="str">
        <x:v>Retail</x:v>
      </x:c>
      <x:c r="G82" s="6" t="str">
        <x:v>New</x:v>
      </x:c>
      <x:c r="H82" s="4" t="n">
        <x:v>19</x:v>
      </x:c>
      <x:c r="I82" s="5" t="n">
        <x:v>6840</x:v>
      </x:c>
      <x:c r="J82" s="5" t="n">
        <x:v>4788</x:v>
      </x:c>
      <x:c r="K82" s="6" t="str">
        <x:v>No</x:v>
      </x:c>
    </x:row>
    <x:row r="83">
      <x:c r="A83" s="3" t="n">
        <x:v>46220</x:v>
      </x:c>
      <x:c r="B83" s="6" t="str">
        <x:v>2026-07</x:v>
      </x:c>
      <x:c r="C83" s="6" t="str">
        <x:v>ORD-1082</x:v>
      </x:c>
      <x:c r="D83" s="6" t="str">
        <x:v>West</x:v>
      </x:c>
      <x:c r="E83" s="6" t="str">
        <x:v>Starter</x:v>
      </x:c>
      <x:c r="F83" s="6" t="str">
        <x:v>Online</x:v>
      </x:c>
      <x:c r="G83" s="6" t="str">
        <x:v>Existing</x:v>
      </x:c>
      <x:c r="H83" s="4" t="n">
        <x:v>32</x:v>
      </x:c>
      <x:c r="I83" s="5" t="n">
        <x:v>3840</x:v>
      </x:c>
      <x:c r="J83" s="5" t="n">
        <x:v>2381</x:v>
      </x:c>
      <x:c r="K83" s="6" t="str">
        <x:v>No</x:v>
      </x:c>
    </x:row>
    <x:row r="84">
      <x:c r="A84" s="3" t="n">
        <x:v>46221</x:v>
      </x:c>
      <x:c r="B84" s="6" t="str">
        <x:v>2026-07</x:v>
      </x:c>
      <x:c r="C84" s="6" t="str">
        <x:v>ORD-1083</x:v>
      </x:c>
      <x:c r="D84" s="6" t="str">
        <x:v>West</x:v>
      </x:c>
      <x:c r="E84" s="6" t="str">
        <x:v>Pro</x:v>
      </x:c>
      <x:c r="F84" s="6" t="str">
        <x:v>Retail</x:v>
      </x:c>
      <x:c r="G84" s="6" t="str">
        <x:v>Existing</x:v>
      </x:c>
      <x:c r="H84" s="4" t="n">
        <x:v>36</x:v>
      </x:c>
      <x:c r="I84" s="5" t="n">
        <x:v>7920</x:v>
      </x:c>
      <x:c r="J84" s="5" t="n">
        <x:v>5227</x:v>
      </x:c>
      <x:c r="K84" s="6" t="str">
        <x:v>No</x:v>
      </x:c>
    </x:row>
    <x:row r="85">
      <x:c r="A85" s="3" t="n">
        <x:v>46222</x:v>
      </x:c>
      <x:c r="B85" s="6" t="str">
        <x:v>2026-07</x:v>
      </x:c>
      <x:c r="C85" s="6" t="str">
        <x:v>ORD-1084</x:v>
      </x:c>
      <x:c r="D85" s="6" t="str">
        <x:v>West</x:v>
      </x:c>
      <x:c r="E85" s="6" t="str">
        <x:v>Enterprise</x:v>
      </x:c>
      <x:c r="F85" s="6" t="str">
        <x:v>Partner</x:v>
      </x:c>
      <x:c r="G85" s="6" t="str">
        <x:v>New</x:v>
      </x:c>
      <x:c r="H85" s="4" t="n">
        <x:v>40</x:v>
      </x:c>
      <x:c r="I85" s="5" t="n">
        <x:v>14400</x:v>
      </x:c>
      <x:c r="J85" s="5" t="n">
        <x:v>10080</x:v>
      </x:c>
      <x:c r="K85" s="6" t="str">
        <x:v>No</x:v>
      </x:c>
    </x:row>
    <x:row r="86">
      <x:c r="A86" s="3" t="n">
        <x:v>46239</x:v>
      </x:c>
      <x:c r="B86" s="6" t="str">
        <x:v>2026-08</x:v>
      </x:c>
      <x:c r="C86" s="6" t="str">
        <x:v>ORD-1085</x:v>
      </x:c>
      <x:c r="D86" s="6" t="str">
        <x:v>North</x:v>
      </x:c>
      <x:c r="E86" s="6" t="str">
        <x:v>Starter</x:v>
      </x:c>
      <x:c r="F86" s="6" t="str">
        <x:v>Retail</x:v>
      </x:c>
      <x:c r="G86" s="6" t="str">
        <x:v>Existing</x:v>
      </x:c>
      <x:c r="H86" s="4" t="n">
        <x:v>25</x:v>
      </x:c>
      <x:c r="I86" s="5" t="n">
        <x:v>3000</x:v>
      </x:c>
      <x:c r="J86" s="5" t="n">
        <x:v>1860</x:v>
      </x:c>
      <x:c r="K86" s="6" t="str">
        <x:v>No</x:v>
      </x:c>
    </x:row>
    <x:row r="87">
      <x:c r="A87" s="3" t="n">
        <x:v>46240</x:v>
      </x:c>
      <x:c r="B87" s="6" t="str">
        <x:v>2026-08</x:v>
      </x:c>
      <x:c r="C87" s="6" t="str">
        <x:v>ORD-1086</x:v>
      </x:c>
      <x:c r="D87" s="6" t="str">
        <x:v>North</x:v>
      </x:c>
      <x:c r="E87" s="6" t="str">
        <x:v>Pro</x:v>
      </x:c>
      <x:c r="F87" s="6" t="str">
        <x:v>Partner</x:v>
      </x:c>
      <x:c r="G87" s="6" t="str">
        <x:v>Existing</x:v>
      </x:c>
      <x:c r="H87" s="4" t="n">
        <x:v>29</x:v>
      </x:c>
      <x:c r="I87" s="5" t="n">
        <x:v>6380</x:v>
      </x:c>
      <x:c r="J87" s="5" t="n">
        <x:v>4211</x:v>
      </x:c>
      <x:c r="K87" s="6" t="str">
        <x:v>No</x:v>
      </x:c>
    </x:row>
    <x:row r="88">
      <x:c r="A88" s="3" t="n">
        <x:v>46241</x:v>
      </x:c>
      <x:c r="B88" s="6" t="str">
        <x:v>2026-08</x:v>
      </x:c>
      <x:c r="C88" s="6" t="str">
        <x:v>ORD-1087</x:v>
      </x:c>
      <x:c r="D88" s="6" t="str">
        <x:v>North</x:v>
      </x:c>
      <x:c r="E88" s="6" t="str">
        <x:v>Enterprise</x:v>
      </x:c>
      <x:c r="F88" s="6" t="str">
        <x:v>Online</x:v>
      </x:c>
      <x:c r="G88" s="6" t="str">
        <x:v>New</x:v>
      </x:c>
      <x:c r="H88" s="4" t="n">
        <x:v>33</x:v>
      </x:c>
      <x:c r="I88" s="5" t="n">
        <x:v>11880</x:v>
      </x:c>
      <x:c r="J88" s="5" t="n">
        <x:v>8316</x:v>
      </x:c>
      <x:c r="K88" s="6" t="str">
        <x:v>No</x:v>
      </x:c>
    </x:row>
    <x:row r="89">
      <x:c r="A89" s="3" t="n">
        <x:v>46243</x:v>
      </x:c>
      <x:c r="B89" s="6" t="str">
        <x:v>2026-08</x:v>
      </x:c>
      <x:c r="C89" s="6" t="str">
        <x:v>ORD-1088</x:v>
      </x:c>
      <x:c r="D89" s="6" t="str">
        <x:v>South</x:v>
      </x:c>
      <x:c r="E89" s="6" t="str">
        <x:v>Starter</x:v>
      </x:c>
      <x:c r="F89" s="6" t="str">
        <x:v>Partner</x:v>
      </x:c>
      <x:c r="G89" s="6" t="str">
        <x:v>Existing</x:v>
      </x:c>
      <x:c r="H89" s="4" t="n">
        <x:v>28</x:v>
      </x:c>
      <x:c r="I89" s="5" t="n">
        <x:v>3360</x:v>
      </x:c>
      <x:c r="J89" s="5" t="n">
        <x:v>2083</x:v>
      </x:c>
      <x:c r="K89" s="6" t="str">
        <x:v>Yes</x:v>
      </x:c>
    </x:row>
    <x:row r="90">
      <x:c r="A90" s="3" t="n">
        <x:v>46244</x:v>
      </x:c>
      <x:c r="B90" s="6" t="str">
        <x:v>2026-08</x:v>
      </x:c>
      <x:c r="C90" s="6" t="str">
        <x:v>ORD-1089</x:v>
      </x:c>
      <x:c r="D90" s="6" t="str">
        <x:v>South</x:v>
      </x:c>
      <x:c r="E90" s="6" t="str">
        <x:v>Pro</x:v>
      </x:c>
      <x:c r="F90" s="6" t="str">
        <x:v>Online</x:v>
      </x:c>
      <x:c r="G90" s="6" t="str">
        <x:v>Existing</x:v>
      </x:c>
      <x:c r="H90" s="4" t="n">
        <x:v>32</x:v>
      </x:c>
      <x:c r="I90" s="5" t="n">
        <x:v>7040</x:v>
      </x:c>
      <x:c r="J90" s="5" t="n">
        <x:v>4646</x:v>
      </x:c>
      <x:c r="K90" s="6" t="str">
        <x:v>No</x:v>
      </x:c>
    </x:row>
    <x:row r="91">
      <x:c r="A91" s="3" t="n">
        <x:v>46245</x:v>
      </x:c>
      <x:c r="B91" s="6" t="str">
        <x:v>2026-08</x:v>
      </x:c>
      <x:c r="C91" s="6" t="str">
        <x:v>ORD-1090</x:v>
      </x:c>
      <x:c r="D91" s="6" t="str">
        <x:v>South</x:v>
      </x:c>
      <x:c r="E91" s="6" t="str">
        <x:v>Enterprise</x:v>
      </x:c>
      <x:c r="F91" s="6" t="str">
        <x:v>Retail</x:v>
      </x:c>
      <x:c r="G91" s="6" t="str">
        <x:v>New</x:v>
      </x:c>
      <x:c r="H91" s="4" t="n">
        <x:v>36</x:v>
      </x:c>
      <x:c r="I91" s="5" t="n">
        <x:v>12960</x:v>
      </x:c>
      <x:c r="J91" s="5" t="n">
        <x:v>9072</x:v>
      </x:c>
      <x:c r="K91" s="6" t="str">
        <x:v>No</x:v>
      </x:c>
    </x:row>
    <x:row r="92">
      <x:c r="A92" s="3" t="n">
        <x:v>46247</x:v>
      </x:c>
      <x:c r="B92" s="6" t="str">
        <x:v>2026-08</x:v>
      </x:c>
      <x:c r="C92" s="6" t="str">
        <x:v>ORD-1091</x:v>
      </x:c>
      <x:c r="D92" s="6" t="str">
        <x:v>East</x:v>
      </x:c>
      <x:c r="E92" s="6" t="str">
        <x:v>Starter</x:v>
      </x:c>
      <x:c r="F92" s="6" t="str">
        <x:v>Online</x:v>
      </x:c>
      <x:c r="G92" s="6" t="str">
        <x:v>Existing</x:v>
      </x:c>
      <x:c r="H92" s="4" t="n">
        <x:v>16</x:v>
      </x:c>
      <x:c r="I92" s="5" t="n">
        <x:v>1920</x:v>
      </x:c>
      <x:c r="J92" s="5" t="n">
        <x:v>1190</x:v>
      </x:c>
      <x:c r="K92" s="6" t="str">
        <x:v>No</x:v>
      </x:c>
    </x:row>
    <x:row r="93">
      <x:c r="A93" s="3" t="n">
        <x:v>46248</x:v>
      </x:c>
      <x:c r="B93" s="6" t="str">
        <x:v>2026-08</x:v>
      </x:c>
      <x:c r="C93" s="6" t="str">
        <x:v>ORD-1092</x:v>
      </x:c>
      <x:c r="D93" s="6" t="str">
        <x:v>East</x:v>
      </x:c>
      <x:c r="E93" s="6" t="str">
        <x:v>Pro</x:v>
      </x:c>
      <x:c r="F93" s="6" t="str">
        <x:v>Retail</x:v>
      </x:c>
      <x:c r="G93" s="6" t="str">
        <x:v>Existing</x:v>
      </x:c>
      <x:c r="H93" s="4" t="n">
        <x:v>18</x:v>
      </x:c>
      <x:c r="I93" s="5" t="n">
        <x:v>3960</x:v>
      </x:c>
      <x:c r="J93" s="5" t="n">
        <x:v>2614</x:v>
      </x:c>
      <x:c r="K93" s="6" t="str">
        <x:v>No</x:v>
      </x:c>
    </x:row>
    <x:row r="94">
      <x:c r="A94" s="3" t="n">
        <x:v>46249</x:v>
      </x:c>
      <x:c r="B94" s="6" t="str">
        <x:v>2026-08</x:v>
      </x:c>
      <x:c r="C94" s="6" t="str">
        <x:v>ORD-1093</x:v>
      </x:c>
      <x:c r="D94" s="6" t="str">
        <x:v>East</x:v>
      </x:c>
      <x:c r="E94" s="6" t="str">
        <x:v>Enterprise</x:v>
      </x:c>
      <x:c r="F94" s="6" t="str">
        <x:v>Partner</x:v>
      </x:c>
      <x:c r="G94" s="6" t="str">
        <x:v>New</x:v>
      </x:c>
      <x:c r="H94" s="4" t="n">
        <x:v>20</x:v>
      </x:c>
      <x:c r="I94" s="5" t="n">
        <x:v>7200</x:v>
      </x:c>
      <x:c r="J94" s="5" t="n">
        <x:v>5040</x:v>
      </x:c>
      <x:c r="K94" s="6" t="str">
        <x:v>No</x:v>
      </x:c>
    </x:row>
    <x:row r="95">
      <x:c r="A95" s="3" t="n">
        <x:v>46251</x:v>
      </x:c>
      <x:c r="B95" s="6" t="str">
        <x:v>2026-08</x:v>
      </x:c>
      <x:c r="C95" s="6" t="str">
        <x:v>ORD-1094</x:v>
      </x:c>
      <x:c r="D95" s="6" t="str">
        <x:v>West</x:v>
      </x:c>
      <x:c r="E95" s="6" t="str">
        <x:v>Starter</x:v>
      </x:c>
      <x:c r="F95" s="6" t="str">
        <x:v>Retail</x:v>
      </x:c>
      <x:c r="G95" s="6" t="str">
        <x:v>Existing</x:v>
      </x:c>
      <x:c r="H95" s="4" t="n">
        <x:v>34</x:v>
      </x:c>
      <x:c r="I95" s="5" t="n">
        <x:v>4080</x:v>
      </x:c>
      <x:c r="J95" s="5" t="n">
        <x:v>2530</x:v>
      </x:c>
      <x:c r="K95" s="6" t="str">
        <x:v>No</x:v>
      </x:c>
    </x:row>
    <x:row r="96">
      <x:c r="A96" s="3" t="n">
        <x:v>46252</x:v>
      </x:c>
      <x:c r="B96" s="6" t="str">
        <x:v>2026-08</x:v>
      </x:c>
      <x:c r="C96" s="6" t="str">
        <x:v>ORD-1095</x:v>
      </x:c>
      <x:c r="D96" s="6" t="str">
        <x:v>West</x:v>
      </x:c>
      <x:c r="E96" s="6" t="str">
        <x:v>Pro</x:v>
      </x:c>
      <x:c r="F96" s="6" t="str">
        <x:v>Partner</x:v>
      </x:c>
      <x:c r="G96" s="6" t="str">
        <x:v>Existing</x:v>
      </x:c>
      <x:c r="H96" s="4" t="n">
        <x:v>38</x:v>
      </x:c>
      <x:c r="I96" s="5" t="n">
        <x:v>8360</x:v>
      </x:c>
      <x:c r="J96" s="5" t="n">
        <x:v>5518</x:v>
      </x:c>
      <x:c r="K96" s="6" t="str">
        <x:v>No</x:v>
      </x:c>
    </x:row>
    <x:row r="97">
      <x:c r="A97" s="3" t="n">
        <x:v>46253</x:v>
      </x:c>
      <x:c r="B97" s="6" t="str">
        <x:v>2026-08</x:v>
      </x:c>
      <x:c r="C97" s="6" t="str">
        <x:v>ORD-1096</x:v>
      </x:c>
      <x:c r="D97" s="6" t="str">
        <x:v>West</x:v>
      </x:c>
      <x:c r="E97" s="6" t="str">
        <x:v>Enterprise</x:v>
      </x:c>
      <x:c r="F97" s="6" t="str">
        <x:v>Online</x:v>
      </x:c>
      <x:c r="G97" s="6" t="str">
        <x:v>New</x:v>
      </x:c>
      <x:c r="H97" s="4" t="n">
        <x:v>42</x:v>
      </x:c>
      <x:c r="I97" s="5" t="n">
        <x:v>15120</x:v>
      </x:c>
      <x:c r="J97" s="5" t="n">
        <x:v>10584</x:v>
      </x:c>
      <x:c r="K97" s="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629ade64c72d43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8" t="str">
        <x:v>DataPilot · Sales Performance Dashboard</x:v>
      </x:c>
      <x:c r="B1" s="8"/>
      <x:c r="C1" s="8"/>
      <x:c r="D1" s="8"/>
      <x:c r="E1" s="8"/>
      <x:c r="F1" s="8"/>
      <x:c r="G1" s="8"/>
      <x:c r="H1" s="8"/>
    </x:row>
    <x:row r="3">
      <x:c r="A3" s="14" t="str">
        <x:v>Total Revenue</x:v>
      </x:c>
      <x:c r="B3" s="15"/>
      <x:c r="C3" s="14" t="str">
        <x:v>Gross Profit</x:v>
      </x:c>
      <x:c r="D3" s="15"/>
      <x:c r="E3" s="14" t="str">
        <x:v>Margin</x:v>
      </x:c>
      <x:c r="F3" s="15"/>
      <x:c r="G3" s="14" t="str">
        <x:v>Orders</x:v>
      </x:c>
      <x:c r="H3" s="15"/>
    </x:row>
    <x:row r="4">
      <x:c r="A4" s="19" t="n">
        <x:f>SUM('Sales Data'!$I$2:$I$97)</x:f>
        <x:v>600260</x:v>
      </x:c>
      <x:c r="B4" s="20"/>
      <x:c r="C4" s="19" t="n">
        <x:f>SUM('Sales Data'!$I$2:$I$97)-SUM('Sales Data'!$J$2:$J$97)</x:f>
        <x:v>193884</x:v>
      </x:c>
      <x:c r="D4" s="20"/>
      <x:c r="E4" s="21" t="n">
        <x:f>C4/A4</x:f>
        <x:v>0.32300003331889515</x:v>
      </x:c>
      <x:c r="F4" s="20"/>
      <x:c r="G4" s="22" t="n">
        <x:f>COUNTA('Sales Data'!$C$2:$C$97)</x:f>
        <x:v>96</x:v>
      </x:c>
      <x:c r="H4" s="20"/>
    </x:row>
    <x:row r="7">
      <x:c r="A7" s="24" t="str">
        <x:v>Region</x:v>
      </x:c>
      <x:c r="B7" s="24" t="str">
        <x:v>Revenue</x:v>
      </x:c>
      <x:c r="C7" s="24" t="str">
        <x:v>Profit</x:v>
      </x:c>
      <x:c r="E7" s="24" t="str">
        <x:v>Month</x:v>
      </x:c>
      <x:c r="F7" s="24" t="str">
        <x:v>Revenue</x:v>
      </x:c>
      <x:c r="G7" s="24" t="str">
        <x:v>Profit</x:v>
      </x:c>
    </x:row>
    <x:row r="8">
      <x:c r="A8" s="6" t="str">
        <x:v>North</x:v>
      </x:c>
      <x:c r="B8" s="5" t="n">
        <x:f>SUMIF('Sales Data'!$D$2:$D$97,A8,'Sales Data'!$I$2:$I$97)</x:f>
        <x:v>130880</x:v>
      </x:c>
      <x:c r="C8" s="5" t="n">
        <x:f>SUMIF('Sales Data'!$D$2:$D$97,A8,'Sales Data'!$I$2:$I$97)-SUMIF('Sales Data'!$D$2:$D$97,A8,'Sales Data'!$J$2:$J$97)</x:f>
        <x:v>42196</x:v>
      </x:c>
      <x:c r="E8" s="6" t="str">
        <x:v>2026-01</x:v>
      </x:c>
      <x:c r="F8" s="5" t="n">
        <x:f>SUMIF('Sales Data'!$B$2:$B$97,E8,'Sales Data'!$I$2:$I$97)</x:f>
        <x:v>58440</x:v>
      </x:c>
      <x:c r="G8" s="5" t="n">
        <x:f>SUMIF('Sales Data'!$B$2:$B$97,E8,'Sales Data'!$I$2:$I$97)-SUMIF('Sales Data'!$B$2:$B$97,E8,'Sales Data'!$J$2:$J$97)</x:f>
        <x:v>18813</x:v>
      </x:c>
    </x:row>
    <x:row r="9">
      <x:c r="A9" s="6" t="str">
        <x:v>South</x:v>
      </x:c>
      <x:c r="B9" s="5" t="n">
        <x:f>SUMIF('Sales Data'!$D$2:$D$97,A9,'Sales Data'!$I$2:$I$97)</x:f>
        <x:v>147680</x:v>
      </x:c>
      <x:c r="C9" s="5" t="n">
        <x:f>SUMIF('Sales Data'!$D$2:$D$97,A9,'Sales Data'!$I$2:$I$97)-SUMIF('Sales Data'!$D$2:$D$97,A9,'Sales Data'!$J$2:$J$97)</x:f>
        <x:v>47677</x:v>
      </x:c>
      <x:c r="E9" s="6" t="str">
        <x:v>2026-02</x:v>
      </x:c>
      <x:c r="F9" s="5" t="n">
        <x:f>SUMIF('Sales Data'!$B$2:$B$97,E9,'Sales Data'!$I$2:$I$97)</x:f>
        <x:v>64040</x:v>
      </x:c>
      <x:c r="G9" s="5" t="n">
        <x:f>SUMIF('Sales Data'!$B$2:$B$97,E9,'Sales Data'!$I$2:$I$97)-SUMIF('Sales Data'!$B$2:$B$97,E9,'Sales Data'!$J$2:$J$97)</x:f>
        <x:v>20641</x:v>
      </x:c>
    </x:row>
    <x:row r="10">
      <x:c r="A10" s="6" t="str">
        <x:v>East</x:v>
      </x:c>
      <x:c r="B10" s="5" t="n">
        <x:f>SUMIF('Sales Data'!$D$2:$D$97,A10,'Sales Data'!$I$2:$I$97)</x:f>
        <x:v>140420</x:v>
      </x:c>
      <x:c r="C10" s="5" t="n">
        <x:f>SUMIF('Sales Data'!$D$2:$D$97,A10,'Sales Data'!$I$2:$I$97)-SUMIF('Sales Data'!$D$2:$D$97,A10,'Sales Data'!$J$2:$J$97)</x:f>
        <x:v>45372</x:v>
      </x:c>
      <x:c r="E10" s="6" t="str">
        <x:v>2026-03</x:v>
      </x:c>
      <x:c r="F10" s="5" t="n">
        <x:f>SUMIF('Sales Data'!$B$2:$B$97,E10,'Sales Data'!$I$2:$I$97)</x:f>
        <x:v>69640</x:v>
      </x:c>
      <x:c r="G10" s="5" t="n">
        <x:f>SUMIF('Sales Data'!$B$2:$B$97,E10,'Sales Data'!$I$2:$I$97)-SUMIF('Sales Data'!$B$2:$B$97,E10,'Sales Data'!$J$2:$J$97)</x:f>
        <x:v>22468</x:v>
      </x:c>
    </x:row>
    <x:row r="11">
      <x:c r="A11" s="6" t="str">
        <x:v>West</x:v>
      </x:c>
      <x:c r="B11" s="5" t="n">
        <x:f>SUMIF('Sales Data'!$D$2:$D$97,A11,'Sales Data'!$I$2:$I$97)</x:f>
        <x:v>181280</x:v>
      </x:c>
      <x:c r="C11" s="5" t="n">
        <x:f>SUMIF('Sales Data'!$D$2:$D$97,A11,'Sales Data'!$I$2:$I$97)-SUMIF('Sales Data'!$D$2:$D$97,A11,'Sales Data'!$J$2:$J$97)</x:f>
        <x:v>58639</x:v>
      </x:c>
      <x:c r="E11" s="6" t="str">
        <x:v>2026-04</x:v>
      </x:c>
      <x:c r="F11" s="5" t="n">
        <x:f>SUMIF('Sales Data'!$B$2:$B$97,E11,'Sales Data'!$I$2:$I$97)</x:f>
        <x:v>75240</x:v>
      </x:c>
      <x:c r="G11" s="5" t="n">
        <x:f>SUMIF('Sales Data'!$B$2:$B$97,E11,'Sales Data'!$I$2:$I$97)-SUMIF('Sales Data'!$B$2:$B$97,E11,'Sales Data'!$J$2:$J$97)</x:f>
        <x:v>24296</x:v>
      </x:c>
    </x:row>
    <x:row r="12">
      <x:c r="E12" s="6" t="str">
        <x:v>2026-05</x:v>
      </x:c>
      <x:c r="F12" s="5" t="n">
        <x:f>SUMIF('Sales Data'!$B$2:$B$97,E12,'Sales Data'!$I$2:$I$97)</x:f>
        <x:v>80840</x:v>
      </x:c>
      <x:c r="G12" s="5" t="n">
        <x:f>SUMIF('Sales Data'!$B$2:$B$97,E12,'Sales Data'!$I$2:$I$97)-SUMIF('Sales Data'!$B$2:$B$97,E12,'Sales Data'!$J$2:$J$97)</x:f>
        <x:v>26122</x:v>
      </x:c>
    </x:row>
    <x:row r="13">
      <x:c r="E13" s="6" t="str">
        <x:v>2026-06</x:v>
      </x:c>
      <x:c r="F13" s="5" t="n">
        <x:f>SUMIF('Sales Data'!$B$2:$B$97,E13,'Sales Data'!$I$2:$I$97)</x:f>
        <x:v>86440</x:v>
      </x:c>
      <x:c r="G13" s="5" t="n">
        <x:f>SUMIF('Sales Data'!$B$2:$B$97,E13,'Sales Data'!$I$2:$I$97)-SUMIF('Sales Data'!$B$2:$B$97,E13,'Sales Data'!$J$2:$J$97)</x:f>
        <x:v>27949</x:v>
      </x:c>
    </x:row>
    <x:row r="14">
      <x:c r="E14" s="6" t="str">
        <x:v>2026-07</x:v>
      </x:c>
      <x:c r="F14" s="5" t="n">
        <x:f>SUMIF('Sales Data'!$B$2:$B$97,E14,'Sales Data'!$I$2:$I$97)</x:f>
        <x:v>80360</x:v>
      </x:c>
      <x:c r="G14" s="5" t="n">
        <x:f>SUMIF('Sales Data'!$B$2:$B$97,E14,'Sales Data'!$I$2:$I$97)-SUMIF('Sales Data'!$B$2:$B$97,E14,'Sales Data'!$J$2:$J$97)</x:f>
        <x:v>25999</x:v>
      </x:c>
    </x:row>
    <x:row r="15">
      <x:c r="E15" s="6" t="str">
        <x:v>2026-08</x:v>
      </x:c>
      <x:c r="F15" s="5" t="n">
        <x:f>SUMIF('Sales Data'!$B$2:$B$97,E15,'Sales Data'!$I$2:$I$97)</x:f>
        <x:v>85260</x:v>
      </x:c>
      <x:c r="G15" s="5" t="n">
        <x:f>SUMIF('Sales Data'!$B$2:$B$97,E15,'Sales Data'!$I$2:$I$97)-SUMIF('Sales Data'!$B$2:$B$97,E15,'Sales Data'!$J$2:$J$97)</x:f>
        <x:v>27596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a44b405497f492a"/>
</x:worksheet>
</file>